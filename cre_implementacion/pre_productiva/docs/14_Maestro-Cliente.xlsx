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so\Downloads\"/>
    </mc:Choice>
  </mc:AlternateContent>
  <xr:revisionPtr revIDLastSave="0" documentId="13_ncr:1_{B39296F2-ED66-4FC5-98DB-355E05E02F7B}" xr6:coauthVersionLast="47" xr6:coauthVersionMax="47" xr10:uidLastSave="{00000000-0000-0000-0000-000000000000}"/>
  <bookViews>
    <workbookView xWindow="4583" yWindow="2498" windowWidth="18457" windowHeight="11182" activeTab="1" xr2:uid="{857AD5E4-72F1-4887-9C94-33F6C6C1EC10}"/>
  </bookViews>
  <sheets>
    <sheet name="Job&amp;Transformacion" sheetId="1" r:id="rId1"/>
    <sheet name="Transformac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U48" i="2" l="1"/>
  <c r="V48" i="2" s="1"/>
  <c r="U47" i="2"/>
  <c r="V47" i="2" s="1"/>
  <c r="U46" i="2"/>
  <c r="V46" i="2" s="1"/>
  <c r="U42" i="2"/>
  <c r="V42" i="2" s="1"/>
  <c r="U38" i="2"/>
  <c r="V38" i="2" s="1"/>
  <c r="U37" i="2"/>
  <c r="V37" i="2" s="1"/>
  <c r="U36" i="2"/>
  <c r="V36" i="2" s="1"/>
  <c r="U35" i="2"/>
  <c r="V35" i="2" s="1"/>
  <c r="U34" i="2"/>
  <c r="V34" i="2" s="1"/>
  <c r="U33" i="2"/>
  <c r="V33" i="2" s="1"/>
  <c r="U32" i="2"/>
  <c r="V32" i="2" s="1"/>
  <c r="U31" i="2"/>
  <c r="V31" i="2" s="1"/>
  <c r="U30" i="2"/>
  <c r="V30" i="2" s="1"/>
  <c r="U29" i="2"/>
  <c r="V29" i="2" s="1"/>
  <c r="U28" i="2"/>
  <c r="V28" i="2" s="1"/>
  <c r="V27" i="2"/>
  <c r="U27" i="2"/>
  <c r="V26" i="2"/>
  <c r="U26" i="2"/>
  <c r="U22" i="2"/>
  <c r="V22" i="2" s="1"/>
  <c r="V21" i="2"/>
  <c r="U21" i="2"/>
  <c r="U20" i="2"/>
  <c r="V20" i="2" s="1"/>
  <c r="U19" i="2"/>
  <c r="V19" i="2" s="1"/>
  <c r="U18" i="2"/>
  <c r="V18" i="2" s="1"/>
  <c r="U17" i="2"/>
  <c r="V17" i="2" s="1"/>
  <c r="U16" i="2"/>
  <c r="V16" i="2" s="1"/>
  <c r="U15" i="2"/>
  <c r="V15" i="2" s="1"/>
  <c r="U14" i="2"/>
  <c r="V14" i="2" s="1"/>
  <c r="U13" i="2"/>
  <c r="V13" i="2" s="1"/>
  <c r="U12" i="2"/>
  <c r="V12" i="2" s="1"/>
  <c r="U11" i="2"/>
  <c r="V11" i="2" s="1"/>
  <c r="U10" i="2"/>
  <c r="V10" i="2" s="1"/>
  <c r="U9" i="2"/>
  <c r="V9" i="2" s="1"/>
  <c r="U8" i="2"/>
  <c r="V8" i="2" s="1"/>
  <c r="V7" i="2"/>
  <c r="U7" i="2"/>
  <c r="U6" i="2"/>
  <c r="V6" i="2" s="1"/>
  <c r="U5" i="2"/>
  <c r="V5" i="2" s="1"/>
  <c r="U4" i="2"/>
  <c r="V4" i="2" s="1"/>
</calcChain>
</file>

<file path=xl/sharedStrings.xml><?xml version="1.0" encoding="utf-8"?>
<sst xmlns="http://schemas.openxmlformats.org/spreadsheetml/2006/main" count="1197" uniqueCount="556">
  <si>
    <t>Nombre</t>
  </si>
  <si>
    <t>TR_CRESA_01_CARGA_DATA_NACIONALIDAD</t>
  </si>
  <si>
    <t>/public/CRESA_CREDITO/EXTRACCIONES/TRANSFORMACIONES/TR_CRESA_01_CARGA_DATA_NACIONALIDAD</t>
  </si>
  <si>
    <t>Path</t>
  </si>
  <si>
    <t>Loging File</t>
  </si>
  <si>
    <t>Arguments</t>
  </si>
  <si>
    <t>Pass parameters values to sub transformation</t>
  </si>
  <si>
    <t>Atributo</t>
  </si>
  <si>
    <t>wait for remote transformation to complete</t>
  </si>
  <si>
    <t>TR_CRESA_02_CARGA_DATA_CAT_SEXO</t>
  </si>
  <si>
    <t>/public/CRESA_CREDITO/EXTRACCIONES/TRANSFORMACIONES/TR_CRESA_02_CARGA_DATA_CAT_SEXO</t>
  </si>
  <si>
    <t>Catálogo Género</t>
  </si>
  <si>
    <t>Catálogo Nacionalidad</t>
  </si>
  <si>
    <t>Options [Marcado]</t>
  </si>
  <si>
    <t>Parameters [Marcado]</t>
  </si>
  <si>
    <t>TR_CRESA_03_CARGA_CAT_ESTADO_CIVIL</t>
  </si>
  <si>
    <t>/public/CRESA_CREDITO/EXTRACCIONES/TRANSFORMACIONES/TR_CRESA_03_CARGA_CAT_ESTADO_CIVIL</t>
  </si>
  <si>
    <t>Catálogo Estado Civil</t>
  </si>
  <si>
    <t>TR_CRESA_04_CARGA_CAT_NIVEL_INSTRUCCION</t>
  </si>
  <si>
    <t>/public/CRESA_CREDITO/EXTRACCIONES/TRANSFORMACIONES/TR_CRESA_04_CARGA_CAT_NIVEL_INSTRUCCION</t>
  </si>
  <si>
    <t>Catálogo Nivel Instrucción</t>
  </si>
  <si>
    <t>TR_CRESA_10_CAT_ALMACEN</t>
  </si>
  <si>
    <t>Catálogo Almacén</t>
  </si>
  <si>
    <t>/public/CRESA_CREDITO/EXTRACCIONES/TRANSFORMACIONES/TR_CRESA_10_CAT_ALMACEN</t>
  </si>
  <si>
    <t>TR_CRESA_05_CARGA_CAT_PROVINCIA</t>
  </si>
  <si>
    <t>/public/CRESA_CREDITO/EXTRACCIONES/TRANSFORMACIONES/TR_CRESA_05_CARGA_CAT_PROVINCIA</t>
  </si>
  <si>
    <t>Catálogo Provincia</t>
  </si>
  <si>
    <t>TR_CRESA_06_CARGA_CAT_CANTON</t>
  </si>
  <si>
    <t>/public/CRESA_CREDITO/EXTRACCIONES/TRANSFORMACIONES/TR_CRESA_06_CARGA_CAT_CANTON</t>
  </si>
  <si>
    <t>Catálogo Cantón</t>
  </si>
  <si>
    <t>TR_CRESA_07_CARGA_CAT_PARROQUIA</t>
  </si>
  <si>
    <t>/public/CRESA_CREDITO/EXTRACCIONES/TRANSFORMACIONES/TR_CRESA_07_CARGA_CAT_PARROQUIA</t>
  </si>
  <si>
    <t>Catálogo Parroquia</t>
  </si>
  <si>
    <t>TR_CRESA_08_CARGA_CAT_SOLICITUD_ESTADOS</t>
  </si>
  <si>
    <t>/public/CRESA_CREDITO/EXTRACCIONES/TRANSFORMACIONES/TR_CRESA_08_CARGA_CAT_SOLICITUD_ESTADOS</t>
  </si>
  <si>
    <t>Catálogo Solicitud Estados</t>
  </si>
  <si>
    <t>TR_CRESA_11_CAT_MODELO_APROBADOR</t>
  </si>
  <si>
    <t>/public/CRESA_CREDITO/EXTRACCIONES/TRANSFORMACIONES/TR_CRESA_11_CAT_MODELO_APROBADOR</t>
  </si>
  <si>
    <t>Catálogo Modelo Aprobador</t>
  </si>
  <si>
    <t>TR_CRESA_12_CAT_ORIGEN</t>
  </si>
  <si>
    <t>/public/CRESA_CREDITO/EXTRACCIONES/TRANSFORMACIONES/TR_CRESA_12_CAT_ORIGEN</t>
  </si>
  <si>
    <t>Catálogo Origen</t>
  </si>
  <si>
    <t>TR_CRESA_13_CAT_MODELO_CALIFICACION</t>
  </si>
  <si>
    <t>Catálogo Modelo Calificación</t>
  </si>
  <si>
    <t>/public/CRESA_CREDITO/EXTRACCIONES/TRANSFORMACIONES/TR_CRESA_13_CAT_MODELO_CALIFICACION</t>
  </si>
  <si>
    <t>TR_CRESA_14_CAT_TIPO_VINCULO</t>
  </si>
  <si>
    <t>Catálogo Tipo Vínculo</t>
  </si>
  <si>
    <t>/public/CRESA_CREDITO/EXTRACCIONES/TRANSFORMACIONES/TR_CRESA_14_CAT_TIPO_VINCULO</t>
  </si>
  <si>
    <t>TR_CRESA_15_CAT_TIPO_VERIFICACION</t>
  </si>
  <si>
    <t>/public/CRESA_CREDITO/EXTRACCIONES/TRANSFORMACIONES/TR_CRESA_15_CAT_TIPO_VERIFICACION</t>
  </si>
  <si>
    <t>Catálogo Tipo Verificación</t>
  </si>
  <si>
    <t>TR_CRESA_16_CAT_ESTADO_VERIFICACION</t>
  </si>
  <si>
    <t>Catálogo Estado Verificación</t>
  </si>
  <si>
    <t>/public/CRESA_CREDITO/EXTRACCIONES/TRANSFORMACIONES/TR_CRESA_16_CAT_ESTADO_VERIFICACION</t>
  </si>
  <si>
    <t>TR_CRESA_18_CARGA_DATA_CAT_SECTOR</t>
  </si>
  <si>
    <t>Catálogo Sector</t>
  </si>
  <si>
    <t>/public/CRESA_CREDITO/EXTRACCIONES/TRANSFORMACIONES/TR_CRESA_18_CARGA_DATA_CAT_SECTOR</t>
  </si>
  <si>
    <t>TR_CRESA_19_CARGA_DATA_CAT_SECTOR_RIESGO</t>
  </si>
  <si>
    <t>/public/CRESA_CREDITO/EXTRACCIONES/TRANSFORMACIONES/TR_CRESA_19_CARGA_DATA_CAT_SECTOR_RIESGO</t>
  </si>
  <si>
    <t>Catálogo Sector Riesgo</t>
  </si>
  <si>
    <t>TR_CRESA_28_CARGA_DATA_CAT_ESTADO_VERIFICACION</t>
  </si>
  <si>
    <t>/public/CRESA_CREDITO/EXTRACCIONES/TRANSFORMACIONES/TR_CRESA_28_CARGA_DATA_CAT_ESTADO_VERIFICACION</t>
  </si>
  <si>
    <t>TR_CRESA_33_CARGA_CAT_PROFESION</t>
  </si>
  <si>
    <t>/public/CRESA_CREDITO/EXTRACCIONES/TRANSFORMACIONES/TR_CRESA_33_CARGA_CAT_PROFESION</t>
  </si>
  <si>
    <t>Catálogo Profesión</t>
  </si>
  <si>
    <t>/public/CRESA_CREDITO/EXTRACCIONES/JOBS/JOB_CRE_01_CARGA_DATOS_CREDI_CRESA_CATALOGOS.kjb</t>
  </si>
  <si>
    <t>JOB_CRE_01_CARGA_DATOS_CREDI_CRESA_CATALOGOS.kjb</t>
  </si>
  <si>
    <t>JOB_CRE_01_CARGA_DATOS_CREDI_CRESA_CATALOGOS</t>
  </si>
  <si>
    <t>/public/CRESA_CREDITO/EXTRACCIONES/JOBS/</t>
  </si>
  <si>
    <t>JOB_CRE_00_CARGA_DATOS_CREDI_CRESA.kjb</t>
  </si>
  <si>
    <t>JOB_CRE_02_CARGA_DATOS_CREDI_CRESA_SOLICITUDES</t>
  </si>
  <si>
    <t>${Internal.Entry.Current.Directory}/</t>
  </si>
  <si>
    <t>TR_CRESA_34_CARGA_SIS_PETICIONES</t>
  </si>
  <si>
    <t>/public/CRESA_CREDITO/EXTRACCIONES/TRANSFORMACIONES/TR_CRESA_34_CARGA_SIS_PETICIONES</t>
  </si>
  <si>
    <t>Solicitudes</t>
  </si>
  <si>
    <t>Catálogos</t>
  </si>
  <si>
    <t>Peticiones</t>
  </si>
  <si>
    <t>wait for remote job to complete</t>
  </si>
  <si>
    <t>Pass parameters values to sub job</t>
  </si>
  <si>
    <t>TR_CRESA_09_CARGA_SEC_USUARIO</t>
  </si>
  <si>
    <t>/public/CRESA_CREDITO/EXTRACCIONES/TRANSFORMACIONES/TR_CRESA_09_CARGA_SEC_USUARIO</t>
  </si>
  <si>
    <t>Solicitud usuario</t>
  </si>
  <si>
    <t>${Internal.Entry.Current.Directory.Jobs}/</t>
  </si>
  <si>
    <t>${Internal.Entry.Current.Directory.Transformaciones}/</t>
  </si>
  <si>
    <t>/public/CRESA_CREDITO/EXTRACCIONES/TRANSFORMACIONES/</t>
  </si>
  <si>
    <t>TR_CRESA_17_CARGA_DATA_CONTROL_SECUENCIA</t>
  </si>
  <si>
    <t>/public/CRESA_CREDITO/EXTRACCIONES/TRANSFORMACIONES/TR_CRESA_17_CARGA_DATA_CONTROL_SECUENCIA</t>
  </si>
  <si>
    <t>Solicitud Control Secuencia</t>
  </si>
  <si>
    <t>TR_CRESA_20_CARGA_DATA_CRE_SOLICITANTE</t>
  </si>
  <si>
    <t>Credito Solicitante</t>
  </si>
  <si>
    <t>/public/CRESA_CREDITO/EXTRACCIONES/TRANSFORMACIONES/TR_CRESA_20_CARGA_DATA_CRE_SOLICITANTE</t>
  </si>
  <si>
    <t>TR_CRESA_21_CARGA_DATA_CRE_SOLICITANTE_MINA</t>
  </si>
  <si>
    <t>/public/CRESA_CREDITO/EXTRACCIONES/TRANSFORMACIONES/TR_CRESA_21_CARGA_DATA_CRE_SOLICITANTE_MINA</t>
  </si>
  <si>
    <t>Credito Solicitante Mina</t>
  </si>
  <si>
    <t>TR_CRESA_22_CARGA_DATA_CRE_SOLICITUD</t>
  </si>
  <si>
    <t>/public/CRESA_CREDITO/EXTRACCIONES/TRANSFORMACIONES/TR_CRESA_22_CARGA_DATA_CRE_SOLICITUD</t>
  </si>
  <si>
    <t>Credito Solicitud</t>
  </si>
  <si>
    <t>TR_CRESA_23_CARGA_DATA_CRE_SOLICITUD_LABORAL</t>
  </si>
  <si>
    <t>/public/CRESA_CREDITO/EXTRACCIONES/TRANSFORMACIONES/TR_CRESA_23_CARGA_DATA_CRE_SOLICITUD_LABORAL</t>
  </si>
  <si>
    <t>Credito Solicitud Laboral</t>
  </si>
  <si>
    <t>TR_CRESA_24_CARGA_DATA_CRE_SOLICITUD_DOMICILIO</t>
  </si>
  <si>
    <t>/public/CRESA_CREDITO/EXTRACCIONES/TRANSFORMACIONES/TR_CRESA_24_CARGA_DATA_CRE_SOLICITUD_DOMICILIO</t>
  </si>
  <si>
    <t>Credito Solicitud Domicilio</t>
  </si>
  <si>
    <t>TR_CRESA_25_CARGA_DATA_CRE_SOLICITUD_REFERENCIA</t>
  </si>
  <si>
    <t>/public/CRESA_CREDITO/EXTRACCIONES/TRANSFORMACIONES/TR_CRESA_25_CARGA_DATA_CRE_SOLICITUD_REFERENCIA</t>
  </si>
  <si>
    <t>Credito Solicitud Referencia</t>
  </si>
  <si>
    <t>TR_CRESA_26_CARGA_DATA_CRE_SOLICITUD_BITACORA</t>
  </si>
  <si>
    <t>/public/CRESA_CREDITO/EXTRACCIONES/TRANSFORMACIONES/TR_CRESA_26_CARGA_DATA_CRE_SOLICITUD_BITACORA</t>
  </si>
  <si>
    <t>Credito Solicitud Bitácora</t>
  </si>
  <si>
    <t>TR_CRESA_27_CARGA_DATA_VER_TRANSACCIONAL_VERIFICACION</t>
  </si>
  <si>
    <t>Ver Transaccional Verificación</t>
  </si>
  <si>
    <t>/public/CRESA_CREDITO/EXTRACCIONES/TRANSFORMACIONES/TR_CRESA_27_CARGA_DATA_VER_TRANSACCIONAL_VERIFICACION</t>
  </si>
  <si>
    <t>TR_CRESA_29_CARGA_DATA_VER_RESPUESTA_PROVEEDOR</t>
  </si>
  <si>
    <t>/public/CRESA_CREDITO/EXTRACCIONES/TRANSFORMACIONES/TR_CRESA_29_CARGA_DATA_VER_RESPUESTA_PROVEEDOR</t>
  </si>
  <si>
    <t>Ver Propuesta Proveedor</t>
  </si>
  <si>
    <t>TR_CRESA_30_CARGA_DATA_LCR_CUENTAS</t>
  </si>
  <si>
    <t>/public/CRESA_CREDITO/EXTRACCIONES/TRANSFORMACIONES/TR_CRESA_30_CARGA_DATA_LCR_CUENTAS</t>
  </si>
  <si>
    <t>Lcr Cuentas</t>
  </si>
  <si>
    <t>TR_CRESA_31_CARGA_DATA_LCR_RESERVA_CUOTAS</t>
  </si>
  <si>
    <t>/public/CRESA_CREDITO/EXTRACCIONES/TRANSFORMACIONES/TR_CRESA_31_CARGA_DATA_LCR_RESERVA_CUOTAS</t>
  </si>
  <si>
    <t>Lcr Reserva Cuotas</t>
  </si>
  <si>
    <t>TR_CRESA_35_LCR_GRADUACION</t>
  </si>
  <si>
    <t>/public/CRESA_CREDITO/EXTRACCIONES/TRANSFORMACIONES/TR_CRESA_35_LCR_GRADUACION</t>
  </si>
  <si>
    <t>Lcr Graduación</t>
  </si>
  <si>
    <t>/public/CRESA_CREDITO/EXTRACCIONES/JOBS/JOB_CRE_02_CARGA_DATOS_CREDI_CRESA_SOLICITUDES.kjb</t>
  </si>
  <si>
    <t>JOB_CRE_02_CARGA_DATOS_CREDI_CRESA_SOLICITUDES.kjb</t>
  </si>
  <si>
    <t>TR_CRESA_01_CARGA_DATA_NACIONALIDAD.ktr</t>
  </si>
  <si>
    <t>Nombre Transformación</t>
  </si>
  <si>
    <t>DELETE_NACIONALIDAD</t>
  </si>
  <si>
    <t>Step name: [1]</t>
  </si>
  <si>
    <t>GET_NACIONALIDAD</t>
  </si>
  <si>
    <t>Step name: [2]</t>
  </si>
  <si>
    <t>CRESA-MSQL-SERVER-CREDICRESA</t>
  </si>
  <si>
    <t>Connection: [1]</t>
  </si>
  <si>
    <t>SQL: [1]</t>
  </si>
  <si>
    <t>SV_NACIONALIDAD</t>
  </si>
  <si>
    <t>DELETE</t>
  </si>
  <si>
    <t>1	DELETE_NACIONALIDAD	0</t>
  </si>
  <si>
    <t>PUT_NACIONALIDAD</t>
  </si>
  <si>
    <t>CRESA-MSQL-SERVER-DWTANQUESIGMA</t>
  </si>
  <si>
    <t>Target schema:</t>
  </si>
  <si>
    <t>credicresa</t>
  </si>
  <si>
    <t>Target table:</t>
  </si>
  <si>
    <t>cat_nacionalidad</t>
  </si>
  <si>
    <t>Step name: [3]</t>
  </si>
  <si>
    <t>Step name: [4]</t>
  </si>
  <si>
    <t>Step name: [5]</t>
  </si>
  <si>
    <t>Connection: [2]</t>
  </si>
  <si>
    <t>TR_CRESA_02_CARGA_DATA_CAT_SEXO.ktr</t>
  </si>
  <si>
    <t>DELETE_CAT_SEXO</t>
  </si>
  <si>
    <t>GET_CAT_SEXO</t>
  </si>
  <si>
    <t>SV_CAT_SEXO</t>
  </si>
  <si>
    <t>1	DELETE_CAT_SEXO	0</t>
  </si>
  <si>
    <t>PUT_CAT_SEXO</t>
  </si>
  <si>
    <t>cat_sexo</t>
  </si>
  <si>
    <t>Ruta: /public/CRESA_CREDITO/EXTRACCIONES/TRANSFORMACIONES/</t>
  </si>
  <si>
    <t>TRUNCATE TABLE credicresa.cat_sexo</t>
  </si>
  <si>
    <t>SQL: [2]</t>
  </si>
  <si>
    <t>TRUNCATE TABLE credicresa.cat_nacionalidad</t>
  </si>
  <si>
    <t>id,nombre,es_activo</t>
  </si>
  <si>
    <t>id,nombre</t>
  </si>
  <si>
    <t>Select &amp; Alter [3]</t>
  </si>
  <si>
    <t>Watch the following steps [4]</t>
  </si>
  <si>
    <t>Database field [5]</t>
  </si>
  <si>
    <t>Connection: [5]</t>
  </si>
  <si>
    <t>DELETE_CAT_ESTADO_CIVIL</t>
  </si>
  <si>
    <t>TR_CRESA_03_CARGA_CAT_ESTADO_CIVIL.ktr</t>
  </si>
  <si>
    <t>GET_CAT_ESTADO_CIVIL</t>
  </si>
  <si>
    <t>SV_CAT_ESTADO_CIVIL</t>
  </si>
  <si>
    <t>1	DELETE_CAT_ESTADO_CIVIL	0</t>
  </si>
  <si>
    <t>PUT_CAT_ESTADO_CIVIL</t>
  </si>
  <si>
    <t>TRUNCATE TABLE credicresa.cat_estadocivil</t>
  </si>
  <si>
    <t>DELETE_CAT_NIVEL_INSTRUCCION</t>
  </si>
  <si>
    <t>GET_CAT_NIVEL_INSTRUCCION</t>
  </si>
  <si>
    <t>SV_CAT_NIVEL_INSTRUCCION</t>
  </si>
  <si>
    <t>1	DELETE_CAT_NIVEL_INSTRUCCION	0</t>
  </si>
  <si>
    <t>PUT_CAT_NIVEL_INSTRUCCION</t>
  </si>
  <si>
    <t>TRUNCATE TABLE credicresa.cat_nivelinstruccion</t>
  </si>
  <si>
    <t>cat_nivelinstruccion</t>
  </si>
  <si>
    <t>cat_estadocivil</t>
  </si>
  <si>
    <t>TR_CRESA_04_CARGA_CAT_NIVEL_INSTRUCCION.ktr</t>
  </si>
  <si>
    <t>DELETE_CAT_PROVINCIA</t>
  </si>
  <si>
    <t>GET_CAT_PROVINCIA</t>
  </si>
  <si>
    <t>SV_CAT_PROVINCIA</t>
  </si>
  <si>
    <t>1	DELETE_CAT_PROVINCIA	0</t>
  </si>
  <si>
    <t>PUT_CAT_PROVINCIA</t>
  </si>
  <si>
    <t>TRUNCATE TABLE credicresa.cat_provincia</t>
  </si>
  <si>
    <t>cat_provincia</t>
  </si>
  <si>
    <t>id,pais_id,cod,pais_cod,region_cod,nombre,cinec,es_activo</t>
  </si>
  <si>
    <t>select * from CREDITO_CRESA.dbo.cat_provincia nolock</t>
  </si>
  <si>
    <t>select * from CREDITO_CRESA.dbo.cat_nivelinstruccion nolock</t>
  </si>
  <si>
    <t>select * from CREDITO_CRESA.dbo.cat_estadocivil nolock</t>
  </si>
  <si>
    <t>select * from CREDITO_CRESA.dbo.cat_nacionalidad nolock</t>
  </si>
  <si>
    <t>DELETE_CAT_CANTON</t>
  </si>
  <si>
    <t>GET_CAT_CANTON</t>
  </si>
  <si>
    <t>SV_CAT_CANTON</t>
  </si>
  <si>
    <t>1	DELETE_CAT_CANTON	0</t>
  </si>
  <si>
    <t>PUT_CAT_CANTON</t>
  </si>
  <si>
    <t>TRUNCATE TABLE credicresa.cat_canton</t>
  </si>
  <si>
    <t>select * from CREDITO_CRESA.dbo.cat_canton nolock</t>
  </si>
  <si>
    <t>cat_canton</t>
  </si>
  <si>
    <t>id,provincia_id,cod,pais_cod,provincia_cod,nombre,prefijo,cinec,es_activo</t>
  </si>
  <si>
    <t>DELETE_CAT_PARROQUIA</t>
  </si>
  <si>
    <t>GET_CAT_PARROQUIA</t>
  </si>
  <si>
    <t>SV_CAT_PARROQUIA</t>
  </si>
  <si>
    <t>1	DELETE_CAT_PARROQUIA	0</t>
  </si>
  <si>
    <t>PUT_CAT_PARROQUIA</t>
  </si>
  <si>
    <t>TRUNCATE TABLE credicresa.cat_parroquia</t>
  </si>
  <si>
    <t>select * from CREDITO_CRESA.dbo.cat_parroquia nolock</t>
  </si>
  <si>
    <t>cat_parroquia</t>
  </si>
  <si>
    <t>id,canton_id,cod,pais_cod,provincia_cod,canton_cod,nombre,cinec,es_activo</t>
  </si>
  <si>
    <t>DELETE_CAT_SOLICITUD_ESTADOS</t>
  </si>
  <si>
    <t>GET_CAT_SOLICITUD_ESTADOS</t>
  </si>
  <si>
    <t>SV_CAT_SOLICITUD_ESTADOS</t>
  </si>
  <si>
    <t>1	DELETE_CAT_SOLICITUD_ESTADOS	0</t>
  </si>
  <si>
    <t>PUT_CAT_SOLICITUD_ESTADOS</t>
  </si>
  <si>
    <t>TRUNCATE TABLE credicresa.cat_solicitud_estados</t>
  </si>
  <si>
    <t>select * from CREDITO_CRESA.dbo.cat_solicitud_estados nolock</t>
  </si>
  <si>
    <t>cat_solicitud_estados</t>
  </si>
  <si>
    <t>id,creado,actualizado,creado_por,nombre,es_activo</t>
  </si>
  <si>
    <t>TR_CRESA_08_CARGA_CAT_SOLICITUD_ESTADOS.ktr</t>
  </si>
  <si>
    <t>TR_CRESA_07_CARGA_CAT_PARROQUIA.ktr</t>
  </si>
  <si>
    <t>TR_CRESA_06_CARGA_CAT_CANTON.ktr</t>
  </si>
  <si>
    <t>TR_CRESA_05_CARGA_CAT_PROVINCIA.ktr</t>
  </si>
  <si>
    <t>DELETE_SEC_USUARIO</t>
  </si>
  <si>
    <t>TR_CRESA_09_CARGA_SEC_USUARIO.ktr</t>
  </si>
  <si>
    <t>GET_SEC_USUARIO</t>
  </si>
  <si>
    <t>SV_SEC_USUARIO</t>
  </si>
  <si>
    <t>1	DELETE_SEC_USUARIO	0</t>
  </si>
  <si>
    <t>PUT_SEC_USUARIO</t>
  </si>
  <si>
    <t>id,perfil_id,almacen_id,email,nombre_completo,activo,creado,actualizado,creado_por,actualizado_por,clave,identificacion</t>
  </si>
  <si>
    <t>TRUNCATE TABLE credicresa.sec_usuario</t>
  </si>
  <si>
    <t>select * from CREDITO_CRESA.dbo.sec_usuario nolock</t>
  </si>
  <si>
    <t>sec_usuario</t>
  </si>
  <si>
    <t>TR_CRESA_10_CARGA_CAT_ALMACEN.ktr</t>
  </si>
  <si>
    <t>DELETE_CAT_ALMACEN</t>
  </si>
  <si>
    <t>GET_CAT_ALMACEN</t>
  </si>
  <si>
    <t>SV_CAT_ALMACEN</t>
  </si>
  <si>
    <t>1	DELETE_CAT_ALMACEN	0</t>
  </si>
  <si>
    <t>PUT_CAT_ALMACEN</t>
  </si>
  <si>
    <t>TRUNCATE TABLE credicresa.cat_almacen</t>
  </si>
  <si>
    <t>select * from CREDITO_CRESA.dbo.cat_almacen nolock</t>
  </si>
  <si>
    <t>cat_almacen</t>
  </si>
  <si>
    <t>id,empresa_id,grupo_id,unidadnegocio_id,canton_id,canal_id,nombre,canal_dimension,unidadnegocio_dimension,empresacomercial,aplica_biometria,es_fisica,es_activo</t>
  </si>
  <si>
    <t>TR_CRESA_11_CARGA_CAT_MODELO_APROBADOR.ktr</t>
  </si>
  <si>
    <t>DELETE_CAT_MODELO_APROBADOR</t>
  </si>
  <si>
    <t>GET_CAT_MODELO_APROBADOR</t>
  </si>
  <si>
    <t>SV_CAT_MODELO_APROBADOR</t>
  </si>
  <si>
    <t>1	DELETE_CAT_MODELO_APROBADOR	0</t>
  </si>
  <si>
    <t>PUT_CAT_MODELO_APROBADOR</t>
  </si>
  <si>
    <t>TRUNCATE TABLE credicresa.cat_modelo_aprobador</t>
  </si>
  <si>
    <t>select * from CREDITO_CRESA.dbo.cat_modelo_aprobador nolock</t>
  </si>
  <si>
    <t>cat_modelo_aprobador</t>
  </si>
  <si>
    <t>id,calificacion_buro_id,calificacion_confianza_id,calificacion_final_id,origen_id,zona_riesgo_id,tipo_cliente_id,dependencia_id,grupo_id,edad_min,edad_max,nacionalidad,capacidad_pago,tipo_verificacion,entrada_base,es_activo,fecha_creacion,actualizado,creado_por,actualizado_por,unidadnegocio_id,canal_id</t>
  </si>
  <si>
    <t>TR_CRESA_12_CARGA_CAT_ORIGEN.ktr</t>
  </si>
  <si>
    <t>DELETE_CAT_ORIGEN</t>
  </si>
  <si>
    <t>GET_CAT_ORIGEN</t>
  </si>
  <si>
    <t>SV_CAT_ORIGEN</t>
  </si>
  <si>
    <t>1	DELETE_CAT_ORIGEN	0</t>
  </si>
  <si>
    <t>PUT_CAT_ORIGEN</t>
  </si>
  <si>
    <t>TRUNCATE TABLE credicresa.cat_origen</t>
  </si>
  <si>
    <t>select * from CREDITO_CRESA.dbo.cat_origen nolock</t>
  </si>
  <si>
    <t>cat_origen</t>
  </si>
  <si>
    <t>id,fecha_creacion,actualizado,creado_por,actualizado_por,codigo_externo,nombre,es_activo</t>
  </si>
  <si>
    <t>TR_CRESA_13_CARGA_CAT_MODELO_CALIFICACION.ktr</t>
  </si>
  <si>
    <t>DELETE_CAT_MODELO_CALIFICACION</t>
  </si>
  <si>
    <t>GET_CAT_MODELO_CALIFICACION</t>
  </si>
  <si>
    <t>SV_CAT_MODELO_CALIFICACION</t>
  </si>
  <si>
    <t>1	DELETE_CAT_MODELO_CALIFICACION	0</t>
  </si>
  <si>
    <t>PUT_CAT_MODELO_CALIFICACION</t>
  </si>
  <si>
    <t>TRUNCATE TABLE credicresa.cat_modelo_calificacion</t>
  </si>
  <si>
    <t>select * from CREDITO_CRESA.dbo.cat_modelo_calificacion nolock</t>
  </si>
  <si>
    <t>cat_modelo_calificacion</t>
  </si>
  <si>
    <t>id,fecha_creacion,actualizado,creado_por,actualizado_por,confianza_desde,confianza_hasta,nombre,es_activo</t>
  </si>
  <si>
    <t>TR_CRESA_14_CARGA_CAT_TIPO_VINCULO.ktr</t>
  </si>
  <si>
    <t>DELETE_CAT_TIPO_VINCULO</t>
  </si>
  <si>
    <t>GET_CAT_TIPO_VINCULO</t>
  </si>
  <si>
    <t>SV_CAT_TIPO_VINCULO</t>
  </si>
  <si>
    <t>1	DELETE_CAT_TIPO_VINCULO	0</t>
  </si>
  <si>
    <t>PUT_CAT_TIPO_VINCULO</t>
  </si>
  <si>
    <t>TRUNCATE TABLE credicresa.cat_tipovinculo</t>
  </si>
  <si>
    <t>select * from CREDITO_CRESA.dbo.cat_tipovinculo nolock</t>
  </si>
  <si>
    <t>cat_tipovinculo</t>
  </si>
  <si>
    <t>TR_CRESA_15_CARGA_CAT_TIPO_VERIFICACION.ktr</t>
  </si>
  <si>
    <t>DELETE_CAT_TIPO_VERIFICACION</t>
  </si>
  <si>
    <t>GET_CAT_TIPO_VERIFICACION</t>
  </si>
  <si>
    <t>SV_CAT_TIPO_VERIFICACION</t>
  </si>
  <si>
    <t>1	DELETE_CAT_TIPO_VERIFICACION	0</t>
  </si>
  <si>
    <t>TRUNCATE TABLE credicresa.cat_tipoverificacion</t>
  </si>
  <si>
    <t>select * from CREDITO_CRESA.dbo.cat_tipoverificacion nolock</t>
  </si>
  <si>
    <t>cat_tipoverificacion</t>
  </si>
  <si>
    <t>id,nombre,jerarquia,estado,creado,actualizado,creado_por,actualizado_por,naturaleza</t>
  </si>
  <si>
    <t>TR_CRESA_16_CARGA_CAT_ESTADO_VERIFICACION.ktr</t>
  </si>
  <si>
    <t>DELETE_CAT_ESTADO_VERIFICACION</t>
  </si>
  <si>
    <t>GET_CAT_ESTADO_VERIFICACION</t>
  </si>
  <si>
    <t>SV_CAT_ESTADO_VERIFICACION</t>
  </si>
  <si>
    <t>1	DELETE_CAT_ESTADO_VERIFICACION	0</t>
  </si>
  <si>
    <t>PUT_CAT_ESTADO_VERIFICACION</t>
  </si>
  <si>
    <t>TRUNCATE TABLE credicresa.cat_estadoverificacion</t>
  </si>
  <si>
    <t>select * from CREDITO_CRESA.dbo.cat_estadoverificacion nolock</t>
  </si>
  <si>
    <t>cat_estadoverificacion</t>
  </si>
  <si>
    <t>id,nombre,activo,tipo_verificacion,resolutivo,naturaleza</t>
  </si>
  <si>
    <t>TR_CRESA_18_CARGA_CAT_SECTOR.ktr</t>
  </si>
  <si>
    <t>DELETE_CAT_SECTOR</t>
  </si>
  <si>
    <t>GET_CAT_SECTOR</t>
  </si>
  <si>
    <t>SV_CAT_SECTOR</t>
  </si>
  <si>
    <t>1	DELETE_CAT_SECTOR	0</t>
  </si>
  <si>
    <t>PUT_CAT_SECTOR</t>
  </si>
  <si>
    <t>TRUNCATE TABLE credicresa.cat_sector</t>
  </si>
  <si>
    <t>select * from CREDITO_CRESA.dbo.cat_sector nolock</t>
  </si>
  <si>
    <t>cat_sector</t>
  </si>
  <si>
    <t>id,nombre,es_activo,cat_zona_id,creado,actualizado,creado_por,actualizado_por,gestor_id</t>
  </si>
  <si>
    <t>DELETE_CAT_SECTOR_RIESGO</t>
  </si>
  <si>
    <t>GET_CAT_SECTOR_RIESGO</t>
  </si>
  <si>
    <t>SV_CAT_SECTOR_RIESGO</t>
  </si>
  <si>
    <t>1	DELETE_CAT_SECTOR_RIESGO	0</t>
  </si>
  <si>
    <t>PUT_CAT_SECTOR_RIESGO</t>
  </si>
  <si>
    <t>TRUNCATE TABLE credicresa.cat_sector_riesgo_geocerca</t>
  </si>
  <si>
    <t>select * from CREDITO_CRESA.dbo.cat_sector_riesgo_geocerca nolock</t>
  </si>
  <si>
    <t>cat_sector_riesgo_geocerca</t>
  </si>
  <si>
    <t>id,cat_sector_riesgo_id,latitud,longitud,creado,actualizado,creado_por,actualizado_por</t>
  </si>
  <si>
    <t>TR_CRESA_19_CARGA_CAT_SECTOR_RIESGO.ktr</t>
  </si>
  <si>
    <t>TR_CRESA_28_CARGA_CAT_ESTADO_VERIFICACION.ktr</t>
  </si>
  <si>
    <t>PROFESION</t>
  </si>
  <si>
    <t>TR_CRESA_30_CARGA_CAT_PROFESION.ktr</t>
  </si>
  <si>
    <t>DELETE_CAT_PROFESION</t>
  </si>
  <si>
    <t>GET_CAT_PROFESION</t>
  </si>
  <si>
    <t>SV_CAT_PROFESION</t>
  </si>
  <si>
    <t>PUT_CAT_PROFESION</t>
  </si>
  <si>
    <t>TRUNCATE TABLE credicresa.cat_profesion</t>
  </si>
  <si>
    <t>select * from CREDITO_CRESA.dbo.cat_profesion nolock</t>
  </si>
  <si>
    <t>cat_profesion</t>
  </si>
  <si>
    <t>TR_CRESA_17_CARGA_DATA_CONTROL_SECUENCIA.ktr</t>
  </si>
  <si>
    <t>DELETE_CONTROL_SECUENCIA</t>
  </si>
  <si>
    <t>GET_CONTROL_SECUENCIA</t>
  </si>
  <si>
    <t>SV_CONTROL_SECUENCIA</t>
  </si>
  <si>
    <t>1	DELETE_CONTROL_SECUENCIA	0</t>
  </si>
  <si>
    <t>PUT_CONTROL_SECUENCIA</t>
  </si>
  <si>
    <t>TRUNCATE TABLE credicresa.cfg_controlsecuencia</t>
  </si>
  <si>
    <t>select * from CREDITO_CRESA.dbo.cfg_controlsecuencia nolock</t>
  </si>
  <si>
    <t>cfg_controlsecuencia</t>
  </si>
  <si>
    <t>nombre_secuencia,ultimo_numero</t>
  </si>
  <si>
    <t>TR_CRESA_20_CARGA_DATA_CRE_SOLICITANTE.ktr</t>
  </si>
  <si>
    <t>DELETE_CRE_SOLICITANTE</t>
  </si>
  <si>
    <t>GET_CRE_SOLICITANTE</t>
  </si>
  <si>
    <t>SV_CRE_SOLICITANTE</t>
  </si>
  <si>
    <t>1	DELETE_CRE_SOLICITANTE	0</t>
  </si>
  <si>
    <t>PUT_CRE_SOLICITANTE</t>
  </si>
  <si>
    <t>TRUNCATE TABLE credicresa.cre_solicitante</t>
  </si>
  <si>
    <t>select * from CREDITO_CRESA.dbo.cre_solicitante nolock</t>
  </si>
  <si>
    <t>cre_solicitante</t>
  </si>
  <si>
    <t>cod_cliente,tipo_cliente,es_activo,apellido_1,apellido_2,nombre_1,nombre_2,fecha_nacimiento,nacionalidad_id,sexo_id,estado_civil_id,nivel_educacion_id,profesion_id,
identificacion,cellular,cliente_referencia_ubicacion,cliente_calle_principal,cliente_calle_transversal,cliente_numero_casa,provincia_id,canton_id,parroquia_id,creado,actualizado,creado_por,actualizado_por,cuota_estimada,fecha_cuota_estimada,cliente_direccion,email,numero_cargas,nacionalidad</t>
  </si>
  <si>
    <t>DELETE_CRE_SOLICITANTE_MINA</t>
  </si>
  <si>
    <t>TR_CRESA_21_CARGA_DATA_CRE_SOLICITANTE_MINA.ktr</t>
  </si>
  <si>
    <t>GET_CRE_SOLICITANTE_MINA</t>
  </si>
  <si>
    <t>SV_CRE_SOLICITANTE_MINA</t>
  </si>
  <si>
    <t>1	DELETE_CRE_SOLICITANTE_MINA	0</t>
  </si>
  <si>
    <t>PUT_CRE_SOLICITANTE_MINA</t>
  </si>
  <si>
    <t>TRUNCATE TABLE credicresa.cre_solicitante_mina</t>
  </si>
  <si>
    <t>select * from CREDITO_CRESA.dbo.cre_solicitante_mina nolock</t>
  </si>
  <si>
    <t>cre_solicitante_mina</t>
  </si>
  <si>
    <t>id,solicitante_id,propiedad,valor</t>
  </si>
  <si>
    <t>TR_CRESA_22_CARGA_DATA_CRE_SOLICITUD.ktr</t>
  </si>
  <si>
    <t>DELETE_CRE_SOLICITUD</t>
  </si>
  <si>
    <t>GET_CRE_SOLICITUD</t>
  </si>
  <si>
    <t>SV_CRE_SOLICITUD</t>
  </si>
  <si>
    <t>1	DELETE_CRE_SOLICITUD	0</t>
  </si>
  <si>
    <t>PUT_CRE_SOLICITUD</t>
  </si>
  <si>
    <t>TRUNCATE TABLE credicresa.cre_solicitud</t>
  </si>
  <si>
    <t>select * from CREDITO_CRESA.dbo.cre_solicitud nolock</t>
  </si>
  <si>
    <t>cre_solicitud</t>
  </si>
  <si>
    <t>id,empresa_id,unidad_negocio_id,canal_id,solicitante_id,secuencia_cupo,tipo_solicitud,
almacen_oficina,tipo_credito_id,tipo_emprendedor_id,identificacion_emprendedor,grupo_cliente,grupo_impuesto,modo_pago,origen_credito_id,vendedor,cuota_sugerida,cuota_solicitada,
cuota_aprobada,estado,actualizado,actualizado_por,creado,creado_por,secuencia_no,
calificacion_buro_id,calificacion_confianza_id,calificacion_final_id,fecha_cambio_estado,
notificacion_acepto,notificacion_enviada_id,salario_depurado,capacidad_pago,
tipo_verificacion,tipo_verificacion_final,dia_pago_corte_activo,entrada_base,
codigo_cliente,ciclo_corte_cliente,biometria_estado,biometria_id,lib_direccion_almacen,
lib_usuario_id,lib_fecha_realizar,mina_telefono_1,mina_telefono_2,mina_correo_1,
mina_correo_2,mina_score,final_score,verificacion_original,verificacion_activa,
modelo_aprobador_id,almacen_origen_id,riesgo_id,contador_intentos,vendedor_usuario_id,
regestion_intentos,cobertura_intentos</t>
  </si>
  <si>
    <t>DELETE_CRE_SOLICITUD_LABORAL</t>
  </si>
  <si>
    <t>GET_CRE_SOLICITUD_LABORAL</t>
  </si>
  <si>
    <t>SV_CRE_SOLICITUD_LABORAL</t>
  </si>
  <si>
    <t>1	DELETE_CRE_SOLICITUD_LABORAL	0</t>
  </si>
  <si>
    <t>PUT_CRE_SOLICITUD_LABORAL</t>
  </si>
  <si>
    <t>TR_CRESA_23_CARGA_DATA_CRE_SOLICITUD_LABORAL.ktr</t>
  </si>
  <si>
    <t>TRUNCATE TABLE credicresa.cre_solicitudlaboral</t>
  </si>
  <si>
    <t>select * from CREDITO_CRESA.dbo.cre_solicitudlaboral nolock</t>
  </si>
  <si>
    <t>cre_solicitudlaboral</t>
  </si>
  <si>
    <t>id,solicitud_id,provincia_id,canton_id,parroquia_id,actividad_laboral_id,actividad_economica_id,cargas_familiares,calle_principal,calle_transversal,nombre_empresa,salario,origen_ingresos,direccion,sector,referencia,tiempo_laboral,fecha_ingreso_laboral,telefono_fijo,cellular,relacion_dependencia_id,profesion_id,es_actual,actualizado,actualizado_por,creado,creado_por</t>
  </si>
  <si>
    <t>TR_CRESA_24_CARGA_DATA_CRE_SOLICITUD_DOMICILIO.ktr</t>
  </si>
  <si>
    <t>DELETE_CRE_SOLICITUD_DOMICILIO</t>
  </si>
  <si>
    <t>GET_CRE_SOLICITUD_DOMICILIO</t>
  </si>
  <si>
    <t>SV_CRE_SOLICITUD_DOMICILIO</t>
  </si>
  <si>
    <t>1	DELETE_CRE_SOLICITUD_DOMICILIO	0</t>
  </si>
  <si>
    <t>PUT_CRE_SOLICITUD_DOMICILIO</t>
  </si>
  <si>
    <t>TRUNCATE TABLE credicresa.cre_solicituddomicilio</t>
  </si>
  <si>
    <t>select * from CREDITO_CRESA.dbo.cre_solicituddomicilio nolock</t>
  </si>
  <si>
    <t>cre_solicituddomicilio</t>
  </si>
  <si>
    <t>id,solicitud_id,provincia_id,canton_id,parroquia_id,direccion,sector,calle_principal,calle_transversal,tipo_domicilio,referencia,telefono_fijo,cellular,tipo_propiedad,tipo_vivienda,tiempo_residencia,ubicacion_longitud,ubicacion_latitud,ubicacion_mapa,es_actual,manzana,villa,actualizado,actualizado_por,creado,creado_por</t>
  </si>
  <si>
    <t>TR_CRESA_25_CARGA_DATA_CRE_SOLICITUD_REFERENCIA.ktr</t>
  </si>
  <si>
    <t>DELETE_CRE_SOLICITUD_REFERENCIA</t>
  </si>
  <si>
    <t>GET_CRE_SOLICITUD_REFERENCIA</t>
  </si>
  <si>
    <t>SV_CRE_SOLICITUD_REFERENCIA</t>
  </si>
  <si>
    <t>1	DELETE_CRE_SOLICITUD_REFERENCIA	0</t>
  </si>
  <si>
    <t>PUT_CRE_SOLICITUD_REFERENCIA</t>
  </si>
  <si>
    <t>TRUNCATE TABLE credicresa.cre_solicitudreferencia</t>
  </si>
  <si>
    <t>select * from CREDITO_CRESA.dbo.cre_solicitudreferencia nolock</t>
  </si>
  <si>
    <t>cre_solicitudreferencia</t>
  </si>
  <si>
    <t>id,solicitud_id,parroquia_id,tipo_vinculo_id,nombres,telefono_fijo,cellular,operadora_celular,es_actual,apellidos,actualizado,actualizado_por,creado,creado_por</t>
  </si>
  <si>
    <t>TR_CRESA_26_CARGA_DATA_CRE_SOLICITUD_BITACORA.ktr</t>
  </si>
  <si>
    <t>DELETE_CRE_SOLICITUD_BITACORA</t>
  </si>
  <si>
    <t>GET_CRE_SOLICITUD_BITACORA</t>
  </si>
  <si>
    <t>SV_CRE_SOLICITUD_BITACORA</t>
  </si>
  <si>
    <t>1	DELETE_CRE_SOLICITUD_BITACORA	0</t>
  </si>
  <si>
    <t>PUT_CRE_SOLICITUD_BITACORA</t>
  </si>
  <si>
    <t>select * from CREDITO_CRESA.dbo.cre_solicitudbitacora nolock</t>
  </si>
  <si>
    <t>cre_solicitud_bitacora</t>
  </si>
  <si>
    <t>TRUNCATE TABLE credicresa.cre_solicitud_bitacora</t>
  </si>
  <si>
    <t>id,solicitud_id,estado,creado,creado_por</t>
  </si>
  <si>
    <t>TR_CRESA_27_CARGA_DATA_VER_RESPUESTA_PROVEEDOR.ktr</t>
  </si>
  <si>
    <t>DELETE_VER_RESPUESTA_PROVEEDOR</t>
  </si>
  <si>
    <t>GET_VER_RESPUESTA_PROVEEDOR</t>
  </si>
  <si>
    <t>SV_VER_RESPUESTA_PROVEEDOR</t>
  </si>
  <si>
    <t>1	DELETE_VER_RESPUESTA_PROVEEDOR	0</t>
  </si>
  <si>
    <t>PUT_VER_RESPUESTA_PROVEEDOR</t>
  </si>
  <si>
    <t>TRUNCATE TABLE credicresa.ver_respuesta_proveedor</t>
  </si>
  <si>
    <t>select * from CREDITO_CRESA.dbo.ver_respuesta_proveedor nolock</t>
  </si>
  <si>
    <t>ver_respuesta_proveedor</t>
  </si>
  <si>
    <t>id,verificacion_id,solicitud_id,gestor_id,motive,fecha_resolucion,estado,evidencia_url,comentario,creado,actualizado,creado_por,actualizado_por</t>
  </si>
  <si>
    <t>TR_CRESA_29_CARGA_DATA_LCR_CUENTAS.ktr</t>
  </si>
  <si>
    <t>DELETE_LCR_CUENTAS</t>
  </si>
  <si>
    <t>GET_LCR_CUENTAS</t>
  </si>
  <si>
    <t>SV_LCR_CUENTAS</t>
  </si>
  <si>
    <t>1	DELETE_LCR_CUENTAS	0</t>
  </si>
  <si>
    <t>PUT_LCR_CUENTAS</t>
  </si>
  <si>
    <t>TRUNCATE TABLE credicresa.lcr_cuentas</t>
  </si>
  <si>
    <t>select * from CREDITO_CRESA.dbo.lcr_cuentas nolock</t>
  </si>
  <si>
    <t>lcr_cuentas</t>
  </si>
  <si>
    <t>id,codigo_cliente,identificacion,tipo_identificacion,nombre1,nombre2,apellido1,apellido2,cellular,email,es_activa,cuota_maxima,cuota_reservada,solicitante_id,solicitud_origen_id,creado,creado_por,actualizado,actualizado_por,segmento_id,direccion_domicilio</t>
  </si>
  <si>
    <t>TR_CRESA_31_CARGA_DATA_LCR_RESERVA_CUOTAS.ktr</t>
  </si>
  <si>
    <t>DELETE_LCR_RESERVA_CUOTAS</t>
  </si>
  <si>
    <t>GET_LCR_RESERVA_CUOTAS</t>
  </si>
  <si>
    <t>SV_LCR_RESERVA_CUOTAS</t>
  </si>
  <si>
    <t>1	DELETE_LCR_RESERVA_CUOTAS	0</t>
  </si>
  <si>
    <t>PUT_LCR_RESERVA_CUOTAS</t>
  </si>
  <si>
    <t>TRUNCATE TABLE credicresa.lcr_reserva_cuotas</t>
  </si>
  <si>
    <t>select * from CREDITO_CRESA.dbo.lcr_reserva_cuotas nolock</t>
  </si>
  <si>
    <t>lcr_reserva_cuotas</t>
  </si>
  <si>
    <t>id,cuenta_id,empresa_id,almacen_id,origen,pedido_id,monto,es_activo,creado_por,creado,actualizado_por,actualizado,sobre_cupo</t>
  </si>
  <si>
    <t>TR_CRESA_35_CARGA_DATA_LCR_GRADUACION.ktr</t>
  </si>
  <si>
    <t>DELETE_LCR_GRADUACION</t>
  </si>
  <si>
    <t>GET_LCR_GRADUACION</t>
  </si>
  <si>
    <t>SV_LCR_GRADUACION</t>
  </si>
  <si>
    <t>1	DELETE_LCR_GRADUACION	0</t>
  </si>
  <si>
    <t>PUT_LCR_GRADUACION</t>
  </si>
  <si>
    <t>TRUNCATE TABLE credicresa.lcr_graduacion</t>
  </si>
  <si>
    <t>select * from CREDITO_CRESA.dbo.lcr_graduacion nolock</t>
  </si>
  <si>
    <t>lcr_graduacion</t>
  </si>
  <si>
    <t>id,graduacion_id,codigo_empresa,codigo_cliente,calificacion_anterior,calificacion_nueva,indicador_rescate,cantidad_cortes_evaluados,maximo_dias_atraso,creado,creado_por,fecha_corte,
envio_notificacion,estado_registro,segmento_anterior_id,segmento_nuevo_id,identificacion,capacidad_pago,tipo_cliente,relacion_dependencia_id,unidad_negocio_id,canal_id,grupo_id,edad,
nacionalidad,riesgo_id,politica_id,salario_depurado,origen_credito_id,cuota_maxima_anterior,cuota_maxima_nueva,almacen_oficina,lcr_id,segmento_lcr_anterior,estado_procesamiento,estado_notificacion,error_notificacion,fecha_recepcion,fecha_procesamiento,error_descripcion,bitacora_id,solicitante_id,cuenta_id,intentos_procesamiento,origen_datos</t>
  </si>
  <si>
    <t>TR_CRESA_00_CARGA_DATOS_CREDI_CRESA.ktr</t>
  </si>
  <si>
    <t>TR_CRESA_34_CARGA_DATA_SIS_PETICIONES.ktr</t>
  </si>
  <si>
    <t>DELETE_SIS_PETICIONES</t>
  </si>
  <si>
    <t>GET_SIS_PETICIONES</t>
  </si>
  <si>
    <t>SV_SIS_PETICIONES</t>
  </si>
  <si>
    <t>1	DELETE_SIS_PETICIONES	0</t>
  </si>
  <si>
    <t>PUT_SIS_PETICIONES</t>
  </si>
  <si>
    <t>TRUNCATE TABLE credicresa.sis_peticiones</t>
  </si>
  <si>
    <t>select * from CREDITO_CRESA.dbo.sis_peticiones nolock</t>
  </si>
  <si>
    <t>sis_peticiones</t>
  </si>
  <si>
    <t>id,identificacion,api,metodo,url,request,status,response,creado,creado_por</t>
  </si>
  <si>
    <t>JOB_CRE_00_CARGA_COBRANZA_CRESA</t>
  </si>
  <si>
    <t>JOB_CRE_00_EJECUTA_VOLCADO_SQL</t>
  </si>
  <si>
    <t>/public/VOLCADO_DATOS/JOBS/</t>
  </si>
  <si>
    <t>TR_CRESA_01_CARGA_COBRANZA_CRESA</t>
  </si>
  <si>
    <t>/public/COBRANZA WEB/TRANSFORMACIONES/</t>
  </si>
  <si>
    <t>Job</t>
  </si>
  <si>
    <t>TR_CRESA_03_CARGA_TIPO_CREDITO</t>
  </si>
  <si>
    <t>TR_CRESA_05__CUB_COBRO_CUOTAS</t>
  </si>
  <si>
    <t>TR_CRESA_02_ACTUALIZA_CUBO_COBRO_CUOTAS</t>
  </si>
  <si>
    <t>/public/ACTUALIZA_CUBOS/TRANSFORMACIONES/</t>
  </si>
  <si>
    <t>Transformación [1]</t>
  </si>
  <si>
    <t>Transformación [2]</t>
  </si>
  <si>
    <t>/public/VOLCADO_DATOS/JOBS/JOB_CRE_00_EJECUTA_VOLCADO_SQL.kjb</t>
  </si>
  <si>
    <t>C:\Users\adminbi\AppData\Local\Programs\Python\Python313\python.exe "C:\VOLCADO DATA\VOLCADO COBRANZA\carga_dim_pagos.py"</t>
  </si>
  <si>
    <t>C:\Users\adminbi\AppData\Local\Programs\Python\Python313\python.exe "C:\VOLCADO DATA\VOLCADO COBRANZA\carga_operacion_dim.py"</t>
  </si>
  <si>
    <t>C:\Users\adminbi\AppData\Local\Programs\Python\Python313\python.exe "C:\VOLCADO DATA\VOLCADO COBRANZA\carga_persona_dim.py"</t>
  </si>
  <si>
    <t>C:\Users\adminbi\AppData\Local\Programs\Python\Python313\python.exe "C:\VOLCADO DATA\VOLCADO COBRANZA\carga_fac_cobranza.py"</t>
  </si>
  <si>
    <t>TR_CRESA_35_CARGA_DATA_COBRO_CUOTAS_CRESA.ktr</t>
  </si>
  <si>
    <t>DELETE_COBRO_CUOTAS_CRESA</t>
  </si>
  <si>
    <t>GET_EXTRAE_COBRO_CUOTAS_CRESA</t>
  </si>
  <si>
    <t>SV_EXTRAE_COBRO_CUOTAS_CRESA</t>
  </si>
  <si>
    <t>1	DELETE_EXTRAE_COBRO_CUOTAS_CRESA	0</t>
  </si>
  <si>
    <t>PUT_COBRO_CUOTAS_CRESA</t>
  </si>
  <si>
    <t>empresa,desAgencia,document,nomcliente,numCredito,numComprobante,interesMora,gastoCobranza,dfechavencimiento,monto,fechacreacion,autorizacion,cuotaFin,valorCapital,valorInteres,tipoPago,vertical,estadoPago,estado,tipoCartera,clase</t>
  </si>
  <si>
    <t>select 
'CRESA' empresa,
-- c.des_tienda_dynamics 
null desAgencia,
d.numero_cedula  documento,
d.nombre_cliente  nomcliente,
a.id_operacion  numCredito,
b.num_comprobante  numComprobante,
a.valor_mora interesMora,
a.valor_gasto_cobranza  gastoCobranza,
a.fecha_vencimiento  dfechavencimiento,
a.valor  monto,
cast(cast(a.id_fecha as varchar) as date) fechacreacion,
a.id_autorizacion  autorizacion,
b.numero_cuota  cuotaFin,
a.valor_capital  valorCapital,
a.valor_interes  valorInteres,
e.des_forma_pago  tipoPago,
a.unidad_negocio  vertical,
 null estadoPago,
b.estado estado,
null tipoCartera,
null clase 
from DWH_CRESA.cobranza.dw_cresa_cobro_cuotas_fact a
inner join DWH_CRESA.cobranza.dw_cresa_pagos_dim b 
on a.pk_cobro_cuota =b.id_cobro_cuota 
-- left join dwh.dbo.dw_cresa_tienda_dim c 
-- on a.id_almacen =c.cod_tienda_siac 
inner join DWH_CRESA.cobranza.dw_cresa_persona_siac_dim d
on a.id_codigo_cliente =d.PK_id_cod_cliente
inner join DWH_CRESA.cobranza.dw_cresa_forma_pagos_dim e 
on a.id_forma_pago =e.id_forma_pago 
where year(cast(cast(a.id_fecha as varchar)as date)) = year(GETDATE())
and month(cast(cast(a.id_fecha as varchar)as date))=month(GETDATE()-1)
and b.estado ='ACTIVO'</t>
  </si>
  <si>
    <t>com_cub_cobros_cuotas_cresa_tb</t>
  </si>
  <si>
    <t>Mysql-Fedora-CobranzaWeb</t>
  </si>
  <si>
    <t>TR_CRESA_03_CARGA_TIPO_CREDITO.ktr</t>
  </si>
  <si>
    <t>DELETE_COBRO_TIPO_CREDITO</t>
  </si>
  <si>
    <t>TRUNCATE TABLE cobro_tipo_credito_tb</t>
  </si>
  <si>
    <t>SELECT 
c.tipoOpetracion tipoCredito,
a.valor monto,
cast(cast(a.id_fecha as varchar)as date) fechacreacion
from DWH_CRESA.cobranza.dw_cresa_cobro_cuotas_fact a
inner join DWH_CRESA.cobranza.dw_cresa_pagos_dim b 
on a.pk_cobro_cuota =b.id_cobro_cuota 
inner join DWH_CRESA.cobranza.dw_cresa_operacion_dim c 
on a.id_autorizacion =c.PK_id_operacion 
where year(cast(cast(a.id_fecha as varchar)as date)) = year(GETDATE())
and month(cast(cast(a.id_fecha as varchar)as date))=month(GETDATE()-1)
and b.estado ='ACTIVO'</t>
  </si>
  <si>
    <t>CRESA SQLSERVER DWH_CRESA</t>
  </si>
  <si>
    <t>GET_COBRO_TIPO_CREDITO</t>
  </si>
  <si>
    <t>SV_COBRO_TIPO_CREDITO</t>
  </si>
  <si>
    <t>cobro_tipo_credito_tb</t>
  </si>
  <si>
    <t>tipoCredito,monto,fechacreacion</t>
  </si>
  <si>
    <t>Mysql_Fedora_dwh_cresa</t>
  </si>
  <si>
    <t>PUT_COBRANZA_TIPO_CREDITO</t>
  </si>
  <si>
    <t>1	DELETE_COBRO_TIPO_CREDITO	0</t>
  </si>
  <si>
    <t>MySlq-Fedora-CobranzaWeb</t>
  </si>
  <si>
    <t>TRUNCATE TABLE cobranza_web.com_cub_cobros_cuotas_cresa_tb</t>
  </si>
  <si>
    <t>MySlq-Fedora-dwh_cresa</t>
  </si>
  <si>
    <t>TR_CRESA_05__CUB_COBRO_CUOTAS.ktr</t>
  </si>
  <si>
    <t>DELETE_COBRO_CUOTAS</t>
  </si>
  <si>
    <t>TRUNCATE TABLE DWH_CRESA.cobranza.cub_cobro_cuotas</t>
  </si>
  <si>
    <t>GET_COBRO_CUOTAS</t>
  </si>
  <si>
    <t>SV_COBRO_CUOTAS</t>
  </si>
  <si>
    <t>1	DELETE_COBRO_CUOTAS	0</t>
  </si>
  <si>
    <t>select 
'CRESA' empresa,
c.des_tienda_dynamics desAgencia,
d.numero_cedula  documento,
d.nombre_cliente  nomcliente,
a.id_operacion  numCredito,
b.num_comprobante  numComprobante,
a.valor_mora interesMora,
a.valor_gasto_cobranza  gastoCobranza,
a.fecha_vencimiento  dfechavencimiento,
a.valor  monto,
cast(cast(a.id_fecha as varchar) as date) fechacreacion,
a.id_autorizacion  autorizacion,
b.numero_cuota  cuotaFin,
a.valor_capital  valorCapital,
a.valor_interes  valorInteres,
a.emision_estado_cuenta,
e.des_forma_pago  tipoPago,
a.unidad_negocio  vertical,
 null estadoPago,
b.estado estado,
null tipoCartera,
null clase ,
cid_asiento
from DWH_CRESA.cobranza.dw_cresa_cobro_cuotas_fact a
inner join DWH_CRESA.cobranza.dw_cresa_pagos_dim b 
on a.pk_cobro_cuota =b.id_cobro_cuota 
left join DWH_CRESA.cobranza.dw_cresa_tienda_dim c 
on a.id_almacen =c.cod_tienda_siac 
inner join DWH_CRESA.cobranza.dw_cresa_persona_siac_dim d
on a.id_codigo_cliente =d.PK_id_cod_cliente
inner join DWH_CRESA.cobranza.dw_cresa_forma_pagos_dim e 
on a.id_forma_pago =e.id_forma_pago 
where year(cast(cast(a.id_fecha as varchar)as date)) = year(GETDATE())
and month(cast(cast(a.id_fecha as varchar)as date))=month(GETDATE()-1)
and b.estado ='ACTIVO'</t>
  </si>
  <si>
    <t>empresa,desAgencia,documento,nomcliente,numCredito,numComprobante,interesMora,gastoCobranza,dfechavencimiento,monto,fechacreacion,autorizacion,cuotaFin,valorCapital,valorInteres,emision_estado_cuenta,tipoPago,vertical,estadoPago,estado,tipoCartera,clase,cid_asiento</t>
  </si>
  <si>
    <t>PUT_COBRO_CUOTAS</t>
  </si>
  <si>
    <t>cobranza</t>
  </si>
  <si>
    <t>cub_cobro_cuotas</t>
  </si>
  <si>
    <t>TR_CRESA_02_ACTUALIZA_CUBO_COBRO_CUOTAS.ktr</t>
  </si>
  <si>
    <t>CUBO_COBRO_CUOTAS_CRESA</t>
  </si>
  <si>
    <t>exec procesos_bi.dbo.SprActualizaCuboCobroCuotas</t>
  </si>
  <si>
    <t>CRESA-MSQL-SERVER-SRVANALISITEMP</t>
  </si>
  <si>
    <t>JOB_CRE_00_CARGA_MODELO_CREDI_CRESA</t>
  </si>
  <si>
    <t>/public/CRESA_CREDITO/MODELADO/JOBS</t>
  </si>
  <si>
    <t>/public/CRESA_CREDITO/MODELADO/TRANSFORMACIONES/</t>
  </si>
  <si>
    <t>TR_CRESA_00_CARGA_DATA_VERIFICACIONES</t>
  </si>
  <si>
    <t>TR_CRESA_01_CARGA_DATA_SOLICITUDES</t>
  </si>
  <si>
    <t>TR_CRESA_00_CARGA_DATA_VERIFICACIONES.ktr</t>
  </si>
  <si>
    <t>DELETE_BASE_VERIFICACIONES</t>
  </si>
  <si>
    <t>GET_BASE_VERIFICACIONES</t>
  </si>
  <si>
    <t>SV_BASE_VERIFICACIONES</t>
  </si>
  <si>
    <t>1	DELETE_BASE_VERIFICACIONES	0</t>
  </si>
  <si>
    <t>TRUNCATE TABLE dw_cresa_verificaciones_credi_cresa</t>
  </si>
  <si>
    <t>dw_cresa_verificaciones_credi_cresa</t>
  </si>
  <si>
    <t>MS SQL Server - ICEUIODWH2 - dwh</t>
  </si>
  <si>
    <t>SELECT  b.secuencia_no numero_solicitud,
case 
	when b.codigo_cliente is null then g.codigo_cliente
	else b.codigo_cliente
end codigo_cliente
 ,a.tipo_cliente,a.identificacion,
-- b.estado estado_solicitud,
c.creado fecha_bitacora,c.estado estado_bitacora
,d.creado fecha_creacion_verificacion,d.fecha_verificacion ,d.actualizado fecha_actualizacion_verificacion,
h.nombre tipo_verificacion ,e.nombre descripcion,e.resolutivo ,
f.motivo respuesta_verificacion, f.comentario,d.id id_verificacion,d.anterior_verificacion_id 
from DWTANQUESIGMA.credicresa.cre_solicitante a
left join DWTANQUESIGMA.credicresa.cre_solicitud  b
on a.id =B.solicitante_id
left join DWTANQUESIGMA.credicresa.cre_solicitud_bitacora c
on c.solicitud_id =b.id 
left join DWTANQUESIGMA.credicresa.ver_transaccional_verificacion d
on b.id =c.solicitud_id
and c.solicitud_id =d.solicitud_id 
-- and CONVERT(datetime, CONVERT(varchar(19), c.creado, 120)) = CONVERT(datetime, CONVERT(varchar(19), d.creado, 120))
and  ABS(DATEDIFF(SECOND, c.creado, d.creado)) &lt;= 1
left join DWTANQUESIGMA.credicresa.cat_estadoverificacion e
ON d.estado_verificacion = e.id
left join DWTANQUESIGMA.credicresa.cat_tipoverificacion h 
on d.tipo_verificacion_id =h.id 
left join DWTANQUESIGMA.credicresa.ver_respuesta_proveedor f
on b.id =f.solicitud_id
and c.solicitud_id =f.solicitud_id
and d.id =f.verificacion_id 
left join DWTANQUESIGMA.credicresa.lcr_cuentas g 
on a.id  =g.solicitante_id 
and b.solicitante_id  =g.solicitante_id 
where c.estado ='VERIF_PEND'</t>
  </si>
  <si>
    <t>numero_solicitud,codigo_cliente,tipo_cliente,identificacion,fecha_bitacora,estado_bitacora,fecha_creacion_verificacion,fecha_verificacion,fecha_actualizacion_verificacion,tipo_verificacion,descripcion,resolutivo,respuesta_verificacion,comentario,id_verificacion,anterior_verificacion_id</t>
  </si>
  <si>
    <t>TR_CRESA_01_CARGA_DATA_SOLICITUDES.ktr</t>
  </si>
  <si>
    <t>DELETE_BASE_SOLICITUDES</t>
  </si>
  <si>
    <t>GET_BASE_SOLICITUDES</t>
  </si>
  <si>
    <t>SV_BASE_SOLICITUDES</t>
  </si>
  <si>
    <t>1	DELETE_BASE_SOLICITUDES	0</t>
  </si>
  <si>
    <t>PUT_BASE_VERIFICACIONES</t>
  </si>
  <si>
    <t>PUT_BASE_SOLICITUDES</t>
  </si>
  <si>
    <t>TRUNCATE TABLE dw_cresa_solicitudes_credi_cresa</t>
  </si>
  <si>
    <t xml:space="preserve">
	select solicitud_id,max(creado) ultimo_registro 
	into #max__verificacion
	from DWTANQUESIGMA.credicresa.ver_transaccional_verificacion
	group by solicitud_id
	-- drop table #tmp_ver_transaccional_verificacion
	select a.* into #tmp_ver_transaccional_verificacion from DWTANQUESIGMA.credicresa.ver_transaccional_verificacion a
	inner join #max__verificacion b
	on a.solicitud_id=b.solicitud_id
	and a.creado=b.ultimo_registro
	--- valor Cuota
	select a.ICODIGOCLIENTE,sum(b.IVALORCUOTA) cuota into #cuota from DWTANQUE_CRESA.dbo.CARTOPERACION_CRESA a
	inner join DWTANQUE_CRESA.dbo.CARTCUOTA_CRESA b
	on a.ICODIGOOPERACION=b.ICODIGOOPERACION
	where a.CCODIGOTIPOOPERACION not in('000','036')
	and b.INUMEROCUOTA=1
	and a.CESTADOOPERACION='N'
	group by a.ICODIGOCLIENTE
	---- Calificacion Siac
		SELECT ICODIGOCLIENTE,MAX(DFECHAINGRESO)DFECHAINGRESO
		INTO #max_calificacion
		FROM DWTANQUE_CRESA.dbo.GENMCLIENTECALIFICACION_CRESA
	    GROUP BY ICODIGOCLIENTE
---
		select a.ICODIGOCLIENTE,max(a.CCODIGOCALIFICACION) CCODIGOCALIFICACION 
		into #calificacion
		FROM DWTANQUE_CRESA.dbo.GENMCLIENTECALIFICACION_CRESA a
		inner join #max_calificacion b
		on a.ICODIGOCLIENTE=b.ICODIGOCLIENTE
		and a.DFECHAINGRESO=b.DFECHAINGRESO
		 GROUP BY a.ICODIGOCLIENTE
	select distinct a.ICODIGOCLIENTE,A.IDSOLICITUDSIGMA, b.CCODIGOCALIFICACION 
	 into #siac_info
	from DWTANQUE_CRESA.dbo.CARTOPERACION_CRESA  a
	left join #calificacion b
	on a.ICODIGOCLIENTE=b.ICODIGOCLIENTE
   where a.CCODIGOTIPOOPERACION not in('000','036')
	and a.CORIGENCREDITO='CREDICRESA'
	select a.secuencia_no numero_solicitud,a.creado fecha_creacion,a.actualizado fecha_actualizacion, a.calificacion_buro_id calificacion_buro	,a.calificacion_confianza_id calificacion_confianza, a.calificacion_final_id calificacion_origina,f.nombre calificacion_modelo,o.CCODIGOCALIFICACION calificacion_siac,e.nombre estado_solicitud,p.cuota cuota
	,a.tipo_verificacion tipo_verificacion,h.nombre estado_verificacion , a.biometria_estado,a.almacen_oficina tienda_creacion,a.origen_credito_id origen_credito,a.almacen_origen_id tienda_liberacion_id,q.nombre tienda_liberacion ,i.identificacion cedula_vendedor,i.nombre_completo vendedor,identificacion_emprendedor, null nombre_emprededor,mina_telefono_1,	mina_telefono_2,b.celular telefono_solicitud,	mina_correo_1,	mina_correo_2 ,b.email correo_solicitud
	,
	case
	 when b.cod_cliente=0 then isnull(c.codigo_cliente,o.ICODIGOCLIENTE)
	 else b.cod_cliente
	end
	codigo_cliente,b.identificacion cedula_cliente,b.tipo_cliente, 'CLIENTE NUEVO' tipo_cliente_credito, j.nombre dependencia,b.apellido_1 +' '+ apellido_2+' '+nombre_1+' '+	nombre_2 nombre_cliente,b.fecha_nacimiento	fecha_nacimiento,null	nacionalidad,l.nombre	sexo,m.nombre	estado_civil,n.nombre nivel_educacion,null	profesion,k.calle_principal+','+ k.direccion direccion, d.grupo_id grupo, a.salario_depurado  salario,d.edad_min, d.edad_max, d.capacidad_pago, d.entrada_base, 
case 
when q.unidadnegocio_id ='ORVJAP' then 'ORVE-JAPON'
when q.unidadnegocio_id ='RETAIL' then 'CRECOS'
ELSE  q.unidadnegocio_id 
end unidad_negocio
-- embudo
,
case 
 when e.nombre='INCOMPLETA' then 0
 else 1
 end ingreso ,
 case 
 when e.nombre in ('APROBADA PARA LIBERACIÓN','ACTIVADA') then 1
 else 0
 end aprobada ,
  case 
 when e.nombre='ACTIVADA' then 1
 else 0
 end liberado
 ,
  case 
 when o.IDSOLICITUDSIGMA is not null then 1
 else 0
 end consumo	
--- cuota
,a.salario_depurado * a.capacidad_pago cuota_maxima
,cast(null as decimal (16,2)) cuota_utilizada
,cast(null as decimal (16,2)) cuota_disponible
,case 
 when e.nombre in ('DEVUELTA') then 1
 else 0
 end devuelta , r.nombre calificacion_graduada, k.sector sector_cliente
	-- SELECT COUNT(*)
	-- 592494
	-- 592494
	from DWTANQUESIGMA.credicresa.cre_solicitud a
	left join DWTANQUESIGMA.credicresa.cre_solicitante b
	on a.solicitante_id=b.id
	left join DWTANQUESIGMA.credicresa.lcr_cuentas c
	on a.id=c.solicitud_origen_id
	and a.solicitante_id=c.solicitante_id
	left join DWTANQUESIGMA.credicresa.cat_modelo_aprobador d
	on a.modelo_aprobador_id=d.id
	left join DWTANQUESIGMA.credicresa.cat_solicitud_estados e
	on a.estado=e.id
	left join DWTANQUESIGMA.[credicresa].[cat_modelo_calificacion] f
	on a.calificacion_final_id=f.id
	left join #tmp_ver_transaccional_verificacion g
	on a.id=g.solicitud_id
	left join DWTANQUESIGMA.credicresa.cat_estadoverificacion h
	on g.estado_verificacion=h.id
	left join DWTANQUESIGMA.[credicresa].[sec_usuario] i
	on a.vendedor_usuario_id=i.Id
	left join DWTANQUESIGMA.[credicresa].[cat_dependencia] j
	on d.dependencia_id=j.id
	left join DWTANQUESIGMA.credicresa.cre_solicituddomicilio k
	on a.id=k.solicitud_id
	left join DWTANQUESIGMA.credicresa.cat_sexo l
	on b.sexo_id=l.id
	left join DWTANQUESIGMA.credicresa.cat_estadocivil m
	on b.estado_civil_id=m.id
	left join DWTANQUESIGMA.credicresa.cat_nivelinstruccion n
	on b.nivel_educacion_id=n.id
	left join #siac_info o
	on a.secuencia_no=o.IDSOLICITUDSIGMA
	left join #cuota p
	on isnull(o.ICODIGOCLIENTE,case
	                             when b.cod_cliente=0 then isnull(c.codigo_cliente,o.ICODIGOCLIENTE)
	                             else b.cod_cliente
	                           end)=p.ICODIGOCLIENTE
	left join DWTANQUESIGMA.[credicresa].[cat_almacen] q
	on a.almacen_origen_id=q.id
	left join DWTANQUESIGMA.[credicresa].[cat_modelo_calificacion] r
	on  c.segmento_id=r.id</t>
  </si>
  <si>
    <t>numero_solicitud,fecha_creacion,fecha_actualizacion,calificacion_buro,calificacion_confianza,calificacion_origina,calificacion_modelo,calificacion_siac,estado_solicitud,cuota,tipo_verificacion,estado_verificacion,biometria_estado,tienda_creacion,origen_credito,tienda_liberacion_id,tienda_liberacion,cedula_vendedor,vendedor,identificacion_emprendedor,nombre_emprededor,mina_telefono_1,mina_telefono_2,telefono_solicitud,mina_correo_1,mina_correo_2,correo_solicitud,codigo_cliente,cedula_cliente,tipo_cliente,tipo_cliente_credito,dependencia,nombre_cliente,fecha_nacimiento,nacionalidad,sexo,estado_civil,nivel_educacion,profesion,direccion,grupo,salario,edad_min,edad_max,capacidad_pago,entrada_base,unidad_negocio,ingreso,aprobada,liberado,consume,cuota_maxima,cuota_utilizada,cuota_disponible,devuelta,calificacion_graduada,sector_cliente</t>
  </si>
  <si>
    <t>"+-------------------+----+------+---------+-----------------+-------------------+--------------------+-----------+--------------+--------------------------+
|Fieldname          |Type|Length|Precision|Binary to Normal?|Format             |Date Format Lenient?|Date Locale|Date Time Zone|Lenient number conversion?|Encoding|Decimal|Grouping|Currency|
+-------------------+----+------+---------+-----------------+-------------------+--------------------+-----------+--------------+--------------------------+
|fecha_creacion     |Date|      |         |N                |yyyy-MM-dd HH:mm:ss|N                   |           |              |N
|fecha_actualizacion|Date|      |         |N                |yyyy-MM-dd HH:mm:ss|N                   |           |              |N
|fecha_nacimiento   |Date|      |         |N                |yyyy-MM-dd         |N                   |           |              |N
+-------------------+----+------+---------+-----------------+-------------------+--------------------+-----------+--------------+--------------------------+"</t>
  </si>
  <si>
    <t>dw_cresa_solicitudes_credi_cresa</t>
  </si>
  <si>
    <t>select * from CREDITO_CRESA.dbo.cat_sexo nolock</t>
  </si>
  <si>
    <t>select</t>
  </si>
  <si>
    <t>Y</t>
  </si>
  <si>
    <t>Json</t>
  </si>
  <si>
    <t>Doc</t>
  </si>
  <si>
    <t>s</t>
  </si>
  <si>
    <t>Consulta SQL</t>
  </si>
  <si>
    <t>CJ</t>
  </si>
  <si>
    <t>Nro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</si>
</sst>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u/>
      <sz val="9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2" fillId="0" borderId="0" xfId="0" applyFont="1"/>
    <xf numFmtId="0" fontId="3" fillId="0" borderId="0" xfId="0" applyFont="1"/>
    <xf numFmtId="0" fontId="3" fillId="2" borderId="0" xfId="0" applyFont="1" applyFill="1"/>
    <xf numFmtId="0" fontId="2" fillId="2" borderId="0" xfId="0" applyFont="1" applyFill="1"/>
    <xf numFmtId="0" fontId="3" fillId="3" borderId="0" xfId="0" applyFont="1" applyFill="1"/>
    <xf numFmtId="0" fontId="2" fillId="3" borderId="0" xfId="0" applyFont="1" applyFill="1"/>
    <xf numFmtId="0" fontId="0" fillId="4" borderId="0" xfId="0" applyFill="1"/>
    <xf numFmtId="0" fontId="2" fillId="5" borderId="0" xfId="0" applyFont="1" applyFill="1"/>
    <xf numFmtId="0" fontId="2" fillId="6" borderId="0" xfId="0" applyFont="1" applyFill="1"/>
    <xf numFmtId="0" fontId="4" fillId="0" borderId="0" xfId="0" applyFont="1"/>
    <xf numFmtId="0" fontId="5" fillId="2" borderId="0" xfId="0" applyFont="1" applyFill="1"/>
    <xf numFmtId="0" fontId="2" fillId="3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54873-D7F6-4ACA-8596-090EC884AB34}">
  <dimension ref="A2:G83"/>
  <sheetViews>
    <sheetView topLeftCell="A66" workbookViewId="0">
      <selection activeCell="C84" sqref="C84"/>
    </sheetView>
  </sheetViews>
  <sheetFormatPr baseColWidth="10" defaultRowHeight="14.25" x14ac:dyDescent="0.45"/>
  <cols>
    <col min="1" max="1" width="27.1328125" customWidth="1"/>
    <col min="2" max="2" width="40.6640625" customWidth="1"/>
    <col min="3" max="3" width="48.6640625" bestFit="1" customWidth="1"/>
    <col min="4" max="4" width="34.33203125" bestFit="1" customWidth="1"/>
    <col min="5" max="5" width="10.59765625" customWidth="1"/>
    <col min="6" max="6" width="9.33203125" bestFit="1" customWidth="1"/>
    <col min="7" max="7" width="10" bestFit="1" customWidth="1"/>
    <col min="8" max="8" width="16.06640625" customWidth="1"/>
  </cols>
  <sheetData>
    <row r="2" spans="1:7" x14ac:dyDescent="0.45">
      <c r="A2" t="s">
        <v>71</v>
      </c>
      <c r="B2" t="s">
        <v>68</v>
      </c>
    </row>
    <row r="3" spans="1:7" x14ac:dyDescent="0.45">
      <c r="A3" t="s">
        <v>82</v>
      </c>
      <c r="B3" t="s">
        <v>68</v>
      </c>
    </row>
    <row r="4" spans="1:7" x14ac:dyDescent="0.45">
      <c r="A4" t="s">
        <v>83</v>
      </c>
      <c r="B4" t="s">
        <v>84</v>
      </c>
    </row>
    <row r="6" spans="1:7" x14ac:dyDescent="0.45">
      <c r="A6" s="1" t="s">
        <v>7</v>
      </c>
      <c r="B6" s="1" t="s">
        <v>3</v>
      </c>
      <c r="C6" s="1" t="s">
        <v>0</v>
      </c>
      <c r="D6" s="1" t="s">
        <v>13</v>
      </c>
      <c r="E6" s="1" t="s">
        <v>4</v>
      </c>
      <c r="F6" s="1" t="s">
        <v>5</v>
      </c>
      <c r="G6" s="1" t="s">
        <v>14</v>
      </c>
    </row>
    <row r="7" spans="1:7" x14ac:dyDescent="0.45">
      <c r="A7" s="1"/>
      <c r="B7" t="s">
        <v>71</v>
      </c>
      <c r="C7" t="s">
        <v>69</v>
      </c>
      <c r="D7" s="1"/>
      <c r="E7" s="1"/>
      <c r="F7" s="1"/>
      <c r="G7" s="1"/>
    </row>
    <row r="8" spans="1:7" x14ac:dyDescent="0.45">
      <c r="A8" t="s">
        <v>75</v>
      </c>
      <c r="B8" t="s">
        <v>71</v>
      </c>
      <c r="C8" t="s">
        <v>67</v>
      </c>
      <c r="D8" t="s">
        <v>77</v>
      </c>
      <c r="G8" t="s">
        <v>78</v>
      </c>
    </row>
    <row r="9" spans="1:7" x14ac:dyDescent="0.45">
      <c r="A9" t="s">
        <v>74</v>
      </c>
      <c r="B9" t="s">
        <v>71</v>
      </c>
      <c r="C9" t="s">
        <v>70</v>
      </c>
      <c r="D9" t="s">
        <v>77</v>
      </c>
      <c r="G9" t="s">
        <v>78</v>
      </c>
    </row>
    <row r="10" spans="1:7" x14ac:dyDescent="0.45">
      <c r="A10" t="s">
        <v>76</v>
      </c>
      <c r="B10" s="2" t="s">
        <v>73</v>
      </c>
      <c r="C10" t="s">
        <v>72</v>
      </c>
      <c r="D10" t="s">
        <v>8</v>
      </c>
      <c r="G10" t="s">
        <v>6</v>
      </c>
    </row>
    <row r="12" spans="1:7" x14ac:dyDescent="0.45">
      <c r="A12" t="s">
        <v>75</v>
      </c>
      <c r="B12" s="2" t="s">
        <v>65</v>
      </c>
      <c r="C12" t="s">
        <v>66</v>
      </c>
    </row>
    <row r="13" spans="1:7" x14ac:dyDescent="0.45">
      <c r="B13" s="1"/>
    </row>
    <row r="14" spans="1:7" x14ac:dyDescent="0.45">
      <c r="A14" s="1" t="s">
        <v>7</v>
      </c>
      <c r="B14" s="1" t="s">
        <v>3</v>
      </c>
      <c r="C14" s="1" t="s">
        <v>0</v>
      </c>
      <c r="D14" s="1" t="s">
        <v>13</v>
      </c>
      <c r="E14" s="1" t="s">
        <v>4</v>
      </c>
      <c r="F14" s="1" t="s">
        <v>5</v>
      </c>
      <c r="G14" s="1" t="s">
        <v>14</v>
      </c>
    </row>
    <row r="15" spans="1:7" x14ac:dyDescent="0.45">
      <c r="A15" t="s">
        <v>12</v>
      </c>
      <c r="B15" s="2" t="s">
        <v>2</v>
      </c>
      <c r="C15" t="s">
        <v>1</v>
      </c>
      <c r="D15" t="s">
        <v>8</v>
      </c>
      <c r="G15" t="s">
        <v>6</v>
      </c>
    </row>
    <row r="16" spans="1:7" x14ac:dyDescent="0.45">
      <c r="A16" t="s">
        <v>11</v>
      </c>
      <c r="B16" s="2" t="s">
        <v>10</v>
      </c>
      <c r="C16" t="s">
        <v>9</v>
      </c>
      <c r="D16" t="s">
        <v>8</v>
      </c>
      <c r="G16" t="s">
        <v>6</v>
      </c>
    </row>
    <row r="17" spans="1:7" x14ac:dyDescent="0.45">
      <c r="A17" t="s">
        <v>17</v>
      </c>
      <c r="B17" s="2" t="s">
        <v>16</v>
      </c>
      <c r="C17" t="s">
        <v>15</v>
      </c>
      <c r="D17" t="s">
        <v>8</v>
      </c>
      <c r="G17" t="s">
        <v>6</v>
      </c>
    </row>
    <row r="18" spans="1:7" x14ac:dyDescent="0.45">
      <c r="A18" t="s">
        <v>20</v>
      </c>
      <c r="B18" s="2" t="s">
        <v>19</v>
      </c>
      <c r="C18" t="s">
        <v>18</v>
      </c>
      <c r="D18" t="s">
        <v>8</v>
      </c>
      <c r="G18" t="s">
        <v>6</v>
      </c>
    </row>
    <row r="19" spans="1:7" x14ac:dyDescent="0.45">
      <c r="A19" t="s">
        <v>26</v>
      </c>
      <c r="B19" s="2" t="s">
        <v>25</v>
      </c>
      <c r="C19" t="s">
        <v>24</v>
      </c>
      <c r="D19" t="s">
        <v>8</v>
      </c>
      <c r="G19" t="s">
        <v>6</v>
      </c>
    </row>
    <row r="20" spans="1:7" x14ac:dyDescent="0.45">
      <c r="A20" t="s">
        <v>29</v>
      </c>
      <c r="B20" s="2" t="s">
        <v>28</v>
      </c>
      <c r="C20" t="s">
        <v>27</v>
      </c>
      <c r="D20" t="s">
        <v>8</v>
      </c>
      <c r="G20" t="s">
        <v>6</v>
      </c>
    </row>
    <row r="21" spans="1:7" x14ac:dyDescent="0.45">
      <c r="A21" t="s">
        <v>32</v>
      </c>
      <c r="B21" s="2" t="s">
        <v>31</v>
      </c>
      <c r="C21" t="s">
        <v>30</v>
      </c>
      <c r="D21" t="s">
        <v>8</v>
      </c>
      <c r="G21" t="s">
        <v>6</v>
      </c>
    </row>
    <row r="22" spans="1:7" x14ac:dyDescent="0.45">
      <c r="A22" t="s">
        <v>35</v>
      </c>
      <c r="B22" s="2" t="s">
        <v>34</v>
      </c>
      <c r="C22" t="s">
        <v>33</v>
      </c>
      <c r="D22" t="s">
        <v>8</v>
      </c>
      <c r="G22" t="s">
        <v>6</v>
      </c>
    </row>
    <row r="23" spans="1:7" x14ac:dyDescent="0.45">
      <c r="A23" t="s">
        <v>22</v>
      </c>
      <c r="B23" s="2" t="s">
        <v>23</v>
      </c>
      <c r="C23" t="s">
        <v>21</v>
      </c>
      <c r="D23" t="s">
        <v>8</v>
      </c>
      <c r="G23" t="s">
        <v>6</v>
      </c>
    </row>
    <row r="24" spans="1:7" x14ac:dyDescent="0.45">
      <c r="A24" t="s">
        <v>38</v>
      </c>
      <c r="B24" s="2" t="s">
        <v>37</v>
      </c>
      <c r="C24" t="s">
        <v>36</v>
      </c>
      <c r="D24" t="s">
        <v>8</v>
      </c>
      <c r="G24" t="s">
        <v>6</v>
      </c>
    </row>
    <row r="25" spans="1:7" x14ac:dyDescent="0.45">
      <c r="A25" t="s">
        <v>41</v>
      </c>
      <c r="B25" s="2" t="s">
        <v>40</v>
      </c>
      <c r="C25" t="s">
        <v>39</v>
      </c>
      <c r="D25" t="s">
        <v>8</v>
      </c>
      <c r="G25" t="s">
        <v>6</v>
      </c>
    </row>
    <row r="26" spans="1:7" x14ac:dyDescent="0.45">
      <c r="A26" t="s">
        <v>43</v>
      </c>
      <c r="B26" s="2" t="s">
        <v>44</v>
      </c>
      <c r="C26" t="s">
        <v>42</v>
      </c>
      <c r="D26" t="s">
        <v>8</v>
      </c>
      <c r="G26" t="s">
        <v>6</v>
      </c>
    </row>
    <row r="27" spans="1:7" x14ac:dyDescent="0.45">
      <c r="A27" t="s">
        <v>46</v>
      </c>
      <c r="B27" s="2" t="s">
        <v>47</v>
      </c>
      <c r="C27" t="s">
        <v>45</v>
      </c>
      <c r="D27" t="s">
        <v>8</v>
      </c>
      <c r="G27" t="s">
        <v>6</v>
      </c>
    </row>
    <row r="28" spans="1:7" x14ac:dyDescent="0.45">
      <c r="A28" t="s">
        <v>50</v>
      </c>
      <c r="B28" s="2" t="s">
        <v>49</v>
      </c>
      <c r="C28" t="s">
        <v>48</v>
      </c>
      <c r="D28" t="s">
        <v>8</v>
      </c>
      <c r="G28" t="s">
        <v>6</v>
      </c>
    </row>
    <row r="29" spans="1:7" x14ac:dyDescent="0.45">
      <c r="A29" t="s">
        <v>52</v>
      </c>
      <c r="B29" s="2" t="s">
        <v>53</v>
      </c>
      <c r="C29" t="s">
        <v>51</v>
      </c>
      <c r="D29" t="s">
        <v>8</v>
      </c>
      <c r="G29" t="s">
        <v>6</v>
      </c>
    </row>
    <row r="30" spans="1:7" x14ac:dyDescent="0.45">
      <c r="A30" t="s">
        <v>55</v>
      </c>
      <c r="B30" s="2" t="s">
        <v>56</v>
      </c>
      <c r="C30" t="s">
        <v>54</v>
      </c>
      <c r="D30" t="s">
        <v>8</v>
      </c>
      <c r="G30" t="s">
        <v>6</v>
      </c>
    </row>
    <row r="31" spans="1:7" x14ac:dyDescent="0.45">
      <c r="A31" t="s">
        <v>59</v>
      </c>
      <c r="B31" s="2" t="s">
        <v>58</v>
      </c>
      <c r="C31" t="s">
        <v>57</v>
      </c>
      <c r="D31" t="s">
        <v>8</v>
      </c>
      <c r="G31" t="s">
        <v>6</v>
      </c>
    </row>
    <row r="32" spans="1:7" x14ac:dyDescent="0.45">
      <c r="A32" t="s">
        <v>52</v>
      </c>
      <c r="B32" s="2" t="s">
        <v>61</v>
      </c>
      <c r="C32" t="s">
        <v>60</v>
      </c>
      <c r="D32" t="s">
        <v>8</v>
      </c>
      <c r="G32" t="s">
        <v>6</v>
      </c>
    </row>
    <row r="33" spans="1:7" x14ac:dyDescent="0.45">
      <c r="A33" t="s">
        <v>64</v>
      </c>
      <c r="B33" s="2" t="s">
        <v>63</v>
      </c>
      <c r="C33" t="s">
        <v>62</v>
      </c>
      <c r="D33" t="s">
        <v>8</v>
      </c>
      <c r="G33" t="s">
        <v>6</v>
      </c>
    </row>
    <row r="36" spans="1:7" x14ac:dyDescent="0.45">
      <c r="A36" t="s">
        <v>75</v>
      </c>
      <c r="B36" s="2" t="s">
        <v>124</v>
      </c>
      <c r="C36" t="s">
        <v>125</v>
      </c>
    </row>
    <row r="37" spans="1:7" x14ac:dyDescent="0.45">
      <c r="B37" s="2"/>
    </row>
    <row r="38" spans="1:7" x14ac:dyDescent="0.45">
      <c r="A38" s="1" t="s">
        <v>7</v>
      </c>
      <c r="B38" s="1" t="s">
        <v>3</v>
      </c>
      <c r="C38" s="1" t="s">
        <v>0</v>
      </c>
      <c r="D38" s="1" t="s">
        <v>13</v>
      </c>
      <c r="E38" s="1" t="s">
        <v>4</v>
      </c>
      <c r="F38" s="1" t="s">
        <v>5</v>
      </c>
      <c r="G38" s="1" t="s">
        <v>14</v>
      </c>
    </row>
    <row r="39" spans="1:7" x14ac:dyDescent="0.45">
      <c r="A39" t="s">
        <v>81</v>
      </c>
      <c r="B39" s="2" t="s">
        <v>80</v>
      </c>
      <c r="C39" t="s">
        <v>79</v>
      </c>
      <c r="D39" t="s">
        <v>8</v>
      </c>
      <c r="G39" t="s">
        <v>6</v>
      </c>
    </row>
    <row r="40" spans="1:7" x14ac:dyDescent="0.45">
      <c r="A40" t="s">
        <v>87</v>
      </c>
      <c r="B40" s="2" t="s">
        <v>86</v>
      </c>
      <c r="C40" t="s">
        <v>85</v>
      </c>
      <c r="D40" t="s">
        <v>8</v>
      </c>
      <c r="G40" t="s">
        <v>6</v>
      </c>
    </row>
    <row r="41" spans="1:7" x14ac:dyDescent="0.45">
      <c r="A41" t="s">
        <v>89</v>
      </c>
      <c r="B41" s="2" t="s">
        <v>90</v>
      </c>
      <c r="C41" t="s">
        <v>88</v>
      </c>
      <c r="D41" t="s">
        <v>8</v>
      </c>
      <c r="G41" t="s">
        <v>6</v>
      </c>
    </row>
    <row r="42" spans="1:7" x14ac:dyDescent="0.45">
      <c r="A42" t="s">
        <v>93</v>
      </c>
      <c r="B42" s="2" t="s">
        <v>92</v>
      </c>
      <c r="C42" t="s">
        <v>91</v>
      </c>
      <c r="D42" t="s">
        <v>8</v>
      </c>
      <c r="G42" t="s">
        <v>6</v>
      </c>
    </row>
    <row r="43" spans="1:7" x14ac:dyDescent="0.45">
      <c r="A43" t="s">
        <v>96</v>
      </c>
      <c r="B43" s="2" t="s">
        <v>95</v>
      </c>
      <c r="C43" t="s">
        <v>94</v>
      </c>
      <c r="D43" t="s">
        <v>8</v>
      </c>
      <c r="G43" t="s">
        <v>6</v>
      </c>
    </row>
    <row r="44" spans="1:7" x14ac:dyDescent="0.45">
      <c r="A44" t="s">
        <v>99</v>
      </c>
      <c r="B44" s="2" t="s">
        <v>98</v>
      </c>
      <c r="C44" t="s">
        <v>97</v>
      </c>
      <c r="D44" t="s">
        <v>8</v>
      </c>
      <c r="G44" t="s">
        <v>6</v>
      </c>
    </row>
    <row r="45" spans="1:7" x14ac:dyDescent="0.45">
      <c r="A45" t="s">
        <v>102</v>
      </c>
      <c r="B45" s="2" t="s">
        <v>101</v>
      </c>
      <c r="C45" t="s">
        <v>100</v>
      </c>
      <c r="D45" t="s">
        <v>8</v>
      </c>
      <c r="G45" t="s">
        <v>6</v>
      </c>
    </row>
    <row r="46" spans="1:7" x14ac:dyDescent="0.45">
      <c r="A46" t="s">
        <v>105</v>
      </c>
      <c r="B46" s="2" t="s">
        <v>104</v>
      </c>
      <c r="C46" t="s">
        <v>103</v>
      </c>
      <c r="D46" t="s">
        <v>8</v>
      </c>
      <c r="G46" t="s">
        <v>6</v>
      </c>
    </row>
    <row r="47" spans="1:7" x14ac:dyDescent="0.45">
      <c r="A47" t="s">
        <v>108</v>
      </c>
      <c r="B47" s="2" t="s">
        <v>107</v>
      </c>
      <c r="C47" t="s">
        <v>106</v>
      </c>
      <c r="D47" t="s">
        <v>8</v>
      </c>
      <c r="G47" t="s">
        <v>6</v>
      </c>
    </row>
    <row r="48" spans="1:7" x14ac:dyDescent="0.45">
      <c r="A48" t="s">
        <v>110</v>
      </c>
      <c r="B48" s="2" t="s">
        <v>111</v>
      </c>
      <c r="C48" t="s">
        <v>109</v>
      </c>
      <c r="D48" t="s">
        <v>8</v>
      </c>
      <c r="G48" t="s">
        <v>6</v>
      </c>
    </row>
    <row r="49" spans="1:7" x14ac:dyDescent="0.45">
      <c r="A49" t="s">
        <v>114</v>
      </c>
      <c r="B49" s="2" t="s">
        <v>113</v>
      </c>
      <c r="C49" t="s">
        <v>112</v>
      </c>
      <c r="D49" t="s">
        <v>8</v>
      </c>
      <c r="G49" t="s">
        <v>6</v>
      </c>
    </row>
    <row r="50" spans="1:7" x14ac:dyDescent="0.45">
      <c r="A50" t="s">
        <v>117</v>
      </c>
      <c r="B50" s="2" t="s">
        <v>116</v>
      </c>
      <c r="C50" t="s">
        <v>115</v>
      </c>
      <c r="D50" t="s">
        <v>8</v>
      </c>
      <c r="G50" t="s">
        <v>6</v>
      </c>
    </row>
    <row r="51" spans="1:7" x14ac:dyDescent="0.45">
      <c r="A51" t="s">
        <v>120</v>
      </c>
      <c r="B51" s="2" t="s">
        <v>119</v>
      </c>
      <c r="C51" t="s">
        <v>118</v>
      </c>
      <c r="D51" t="s">
        <v>8</v>
      </c>
      <c r="G51" t="s">
        <v>6</v>
      </c>
    </row>
    <row r="52" spans="1:7" x14ac:dyDescent="0.45">
      <c r="A52" t="s">
        <v>123</v>
      </c>
      <c r="B52" s="2" t="s">
        <v>122</v>
      </c>
      <c r="C52" t="s">
        <v>121</v>
      </c>
      <c r="D52" t="s">
        <v>8</v>
      </c>
      <c r="G52" t="s">
        <v>6</v>
      </c>
    </row>
    <row r="53" spans="1:7" x14ac:dyDescent="0.45">
      <c r="B53" s="2"/>
    </row>
    <row r="54" spans="1:7" x14ac:dyDescent="0.45">
      <c r="B54" s="2"/>
    </row>
    <row r="55" spans="1:7" x14ac:dyDescent="0.45">
      <c r="B55" s="2"/>
    </row>
    <row r="56" spans="1:7" x14ac:dyDescent="0.45">
      <c r="A56" s="1" t="s">
        <v>468</v>
      </c>
      <c r="B56" s="2" t="s">
        <v>465</v>
      </c>
    </row>
    <row r="57" spans="1:7" x14ac:dyDescent="0.45">
      <c r="A57" s="1" t="s">
        <v>473</v>
      </c>
      <c r="B57" s="2" t="s">
        <v>467</v>
      </c>
    </row>
    <row r="58" spans="1:7" x14ac:dyDescent="0.45">
      <c r="A58" s="1" t="s">
        <v>474</v>
      </c>
      <c r="B58" s="2" t="s">
        <v>472</v>
      </c>
    </row>
    <row r="59" spans="1:7" x14ac:dyDescent="0.45">
      <c r="A59" s="1"/>
      <c r="B59" s="2"/>
    </row>
    <row r="60" spans="1:7" x14ac:dyDescent="0.45">
      <c r="A60" s="1"/>
      <c r="B60" s="2"/>
      <c r="C60" t="s">
        <v>463</v>
      </c>
    </row>
    <row r="61" spans="1:7" x14ac:dyDescent="0.45">
      <c r="A61" s="1"/>
      <c r="B61" s="2"/>
    </row>
    <row r="62" spans="1:7" x14ac:dyDescent="0.45">
      <c r="A62" s="1" t="s">
        <v>7</v>
      </c>
      <c r="B62" s="1" t="s">
        <v>3</v>
      </c>
      <c r="C62" s="1" t="s">
        <v>0</v>
      </c>
      <c r="D62" s="1" t="s">
        <v>13</v>
      </c>
      <c r="E62" s="1" t="s">
        <v>4</v>
      </c>
      <c r="F62" s="1" t="s">
        <v>5</v>
      </c>
      <c r="G62" s="1" t="s">
        <v>14</v>
      </c>
    </row>
    <row r="63" spans="1:7" x14ac:dyDescent="0.45">
      <c r="B63" t="s">
        <v>465</v>
      </c>
      <c r="C63" t="s">
        <v>464</v>
      </c>
      <c r="D63" t="s">
        <v>8</v>
      </c>
      <c r="G63" t="s">
        <v>6</v>
      </c>
    </row>
    <row r="64" spans="1:7" x14ac:dyDescent="0.45">
      <c r="B64" t="s">
        <v>467</v>
      </c>
      <c r="C64" t="s">
        <v>466</v>
      </c>
      <c r="D64" t="s">
        <v>8</v>
      </c>
      <c r="G64" t="s">
        <v>6</v>
      </c>
    </row>
    <row r="65" spans="1:7" x14ac:dyDescent="0.45">
      <c r="B65" t="s">
        <v>467</v>
      </c>
      <c r="C65" t="s">
        <v>469</v>
      </c>
      <c r="D65" t="s">
        <v>8</v>
      </c>
      <c r="G65" t="s">
        <v>6</v>
      </c>
    </row>
    <row r="66" spans="1:7" x14ac:dyDescent="0.45">
      <c r="B66" t="s">
        <v>467</v>
      </c>
      <c r="C66" t="s">
        <v>470</v>
      </c>
      <c r="D66" t="s">
        <v>8</v>
      </c>
      <c r="G66" t="s">
        <v>6</v>
      </c>
    </row>
    <row r="67" spans="1:7" x14ac:dyDescent="0.45">
      <c r="B67" t="s">
        <v>472</v>
      </c>
      <c r="C67" t="s">
        <v>471</v>
      </c>
      <c r="D67" t="s">
        <v>8</v>
      </c>
      <c r="G67" t="s">
        <v>6</v>
      </c>
    </row>
    <row r="70" spans="1:7" x14ac:dyDescent="0.45">
      <c r="B70" s="2" t="s">
        <v>475</v>
      </c>
      <c r="C70" t="s">
        <v>464</v>
      </c>
    </row>
    <row r="72" spans="1:7" x14ac:dyDescent="0.45">
      <c r="A72" s="1" t="s">
        <v>7</v>
      </c>
      <c r="B72" s="1" t="s">
        <v>3</v>
      </c>
      <c r="C72" s="1" t="s">
        <v>0</v>
      </c>
      <c r="D72" s="1" t="s">
        <v>13</v>
      </c>
      <c r="E72" s="1" t="s">
        <v>4</v>
      </c>
      <c r="F72" s="1" t="s">
        <v>5</v>
      </c>
      <c r="G72" s="1" t="s">
        <v>14</v>
      </c>
    </row>
    <row r="73" spans="1:7" x14ac:dyDescent="0.45">
      <c r="C73" s="9" t="s">
        <v>476</v>
      </c>
    </row>
    <row r="74" spans="1:7" x14ac:dyDescent="0.45">
      <c r="C74" s="9" t="s">
        <v>477</v>
      </c>
    </row>
    <row r="75" spans="1:7" x14ac:dyDescent="0.45">
      <c r="C75" s="9" t="s">
        <v>478</v>
      </c>
    </row>
    <row r="76" spans="1:7" x14ac:dyDescent="0.45">
      <c r="C76" s="9" t="s">
        <v>479</v>
      </c>
    </row>
    <row r="79" spans="1:7" x14ac:dyDescent="0.45">
      <c r="B79" t="s">
        <v>521</v>
      </c>
      <c r="C79" t="s">
        <v>520</v>
      </c>
    </row>
    <row r="81" spans="1:7" x14ac:dyDescent="0.45">
      <c r="A81" s="1" t="s">
        <v>7</v>
      </c>
      <c r="B81" s="1" t="s">
        <v>3</v>
      </c>
      <c r="C81" s="1" t="s">
        <v>0</v>
      </c>
      <c r="D81" s="1" t="s">
        <v>13</v>
      </c>
      <c r="E81" s="1" t="s">
        <v>4</v>
      </c>
      <c r="F81" s="1" t="s">
        <v>5</v>
      </c>
      <c r="G81" s="1" t="s">
        <v>14</v>
      </c>
    </row>
    <row r="82" spans="1:7" x14ac:dyDescent="0.45">
      <c r="B82" t="s">
        <v>522</v>
      </c>
      <c r="C82" t="s">
        <v>523</v>
      </c>
      <c r="D82" t="s">
        <v>8</v>
      </c>
      <c r="G82" t="s">
        <v>6</v>
      </c>
    </row>
    <row r="83" spans="1:7" x14ac:dyDescent="0.45">
      <c r="B83" t="s">
        <v>522</v>
      </c>
      <c r="C83" t="s">
        <v>524</v>
      </c>
      <c r="D83" t="s">
        <v>8</v>
      </c>
      <c r="G83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DE4CE-946B-4C95-A7A7-05D1E4E6CC1E}">
  <dimension ref="A1:AA55"/>
  <sheetViews>
    <sheetView tabSelected="1" topLeftCell="G40" workbookViewId="0">
      <selection activeCell="D49" sqref="D49"/>
    </sheetView>
  </sheetViews>
  <sheetFormatPr baseColWidth="10" defaultRowHeight="14.25" x14ac:dyDescent="0.45"/>
  <cols>
    <col min="1" max="1" width="2.59765625" customWidth="1"/>
    <col min="2" max="2" width="41.53125" style="3" customWidth="1"/>
    <col min="3" max="3" width="25.3984375" style="3" bestFit="1" customWidth="1"/>
    <col min="4" max="4" width="27.265625" style="3" bestFit="1" customWidth="1"/>
    <col min="5" max="5" width="44.265625" style="3" bestFit="1" customWidth="1"/>
    <col min="6" max="6" width="23.1328125" style="3" bestFit="1" customWidth="1"/>
    <col min="7" max="7" width="27.265625" style="3" bestFit="1" customWidth="1"/>
    <col min="8" max="8" width="43.9296875" style="3" bestFit="1" customWidth="1"/>
    <col min="9" max="9" width="22.265625" style="3" bestFit="1" customWidth="1"/>
    <col min="10" max="11" width="13.265625" style="3" customWidth="1"/>
    <col min="12" max="12" width="10.06640625" style="3" bestFit="1" customWidth="1"/>
    <col min="13" max="13" width="26.06640625" style="3" bestFit="1" customWidth="1"/>
    <col min="14" max="14" width="23.1328125" style="3" bestFit="1" customWidth="1"/>
    <col min="15" max="15" width="27.265625" style="3" bestFit="1" customWidth="1"/>
    <col min="16" max="16" width="13.53125" style="3" bestFit="1" customWidth="1"/>
    <col min="17" max="17" width="10.6640625" style="3" bestFit="1" customWidth="1"/>
    <col min="18" max="18" width="24.59765625" style="3" bestFit="1" customWidth="1"/>
    <col min="19" max="19" width="3" style="3" bestFit="1" customWidth="1"/>
    <col min="20" max="21" width="1.59765625" style="3" customWidth="1"/>
    <col min="22" max="22" width="76" style="6" customWidth="1"/>
    <col min="23" max="27" width="3.3984375" customWidth="1"/>
  </cols>
  <sheetData>
    <row r="1" spans="2:27" x14ac:dyDescent="0.45">
      <c r="B1" s="4" t="s">
        <v>66</v>
      </c>
    </row>
    <row r="2" spans="2:27" x14ac:dyDescent="0.45">
      <c r="B2" s="3" t="s">
        <v>155</v>
      </c>
    </row>
    <row r="3" spans="2:27" x14ac:dyDescent="0.45">
      <c r="B3" s="4" t="s">
        <v>127</v>
      </c>
      <c r="C3" s="5" t="s">
        <v>129</v>
      </c>
      <c r="D3" s="5" t="s">
        <v>133</v>
      </c>
      <c r="E3" s="5" t="s">
        <v>134</v>
      </c>
      <c r="F3" s="7" t="s">
        <v>131</v>
      </c>
      <c r="G3" s="7" t="s">
        <v>147</v>
      </c>
      <c r="H3" s="7" t="s">
        <v>157</v>
      </c>
      <c r="I3" s="5" t="s">
        <v>144</v>
      </c>
      <c r="J3" s="5" t="s">
        <v>161</v>
      </c>
      <c r="K3" s="5"/>
      <c r="L3" s="7" t="s">
        <v>145</v>
      </c>
      <c r="M3" s="7" t="s">
        <v>162</v>
      </c>
      <c r="N3" s="5" t="s">
        <v>146</v>
      </c>
      <c r="O3" s="5" t="s">
        <v>164</v>
      </c>
      <c r="P3" s="5" t="s">
        <v>163</v>
      </c>
      <c r="Q3" s="7" t="s">
        <v>140</v>
      </c>
      <c r="R3" s="7" t="s">
        <v>142</v>
      </c>
      <c r="S3" s="4" t="s">
        <v>555</v>
      </c>
      <c r="V3" s="6" t="s">
        <v>553</v>
      </c>
      <c r="W3" t="s">
        <v>549</v>
      </c>
      <c r="X3" t="s">
        <v>468</v>
      </c>
      <c r="Y3" t="s">
        <v>550</v>
      </c>
      <c r="Z3" t="s">
        <v>551</v>
      </c>
      <c r="AA3" t="s">
        <v>554</v>
      </c>
    </row>
    <row r="4" spans="2:27" x14ac:dyDescent="0.45">
      <c r="B4" s="3" t="s">
        <v>126</v>
      </c>
      <c r="C4" s="6" t="s">
        <v>128</v>
      </c>
      <c r="D4" s="6" t="s">
        <v>139</v>
      </c>
      <c r="E4" s="6" t="s">
        <v>158</v>
      </c>
      <c r="F4" s="8" t="s">
        <v>130</v>
      </c>
      <c r="G4" s="8" t="s">
        <v>132</v>
      </c>
      <c r="H4" s="8" t="s">
        <v>192</v>
      </c>
      <c r="I4" s="6" t="s">
        <v>135</v>
      </c>
      <c r="J4" s="6" t="s">
        <v>159</v>
      </c>
      <c r="K4" s="6"/>
      <c r="L4" s="8" t="s">
        <v>136</v>
      </c>
      <c r="M4" s="8" t="s">
        <v>137</v>
      </c>
      <c r="N4" s="6" t="s">
        <v>138</v>
      </c>
      <c r="O4" s="6" t="s">
        <v>139</v>
      </c>
      <c r="P4" s="6" t="s">
        <v>159</v>
      </c>
      <c r="Q4" s="8" t="s">
        <v>141</v>
      </c>
      <c r="R4" s="8" t="s">
        <v>143</v>
      </c>
      <c r="S4" s="3">
        <v>6</v>
      </c>
      <c r="T4" s="3" t="s">
        <v>548</v>
      </c>
      <c r="U4" s="3" t="str">
        <f t="shared" ref="U4:U22" si="0">MID(H4,9,80)</f>
        <v xml:space="preserve"> from CREDITO_CRESA.dbo.cat_nacionalidad nolock</v>
      </c>
      <c r="V4" s="6" t="str">
        <f t="shared" ref="V4:V22" si="1">_xlfn.CONCAT(T4," ",P4," ",U4)</f>
        <v>select id,nombre,es_activo  from CREDITO_CRESA.dbo.cat_nacionalidad nolock</v>
      </c>
      <c r="W4" t="s">
        <v>552</v>
      </c>
      <c r="X4" t="s">
        <v>552</v>
      </c>
      <c r="Y4" t="s">
        <v>552</v>
      </c>
      <c r="Z4" t="s">
        <v>552</v>
      </c>
      <c r="AA4" t="s">
        <v>552</v>
      </c>
    </row>
    <row r="5" spans="2:27" x14ac:dyDescent="0.45">
      <c r="B5" s="3" t="s">
        <v>148</v>
      </c>
      <c r="C5" s="6" t="s">
        <v>149</v>
      </c>
      <c r="D5" s="6" t="s">
        <v>139</v>
      </c>
      <c r="E5" s="6" t="s">
        <v>156</v>
      </c>
      <c r="F5" s="8" t="s">
        <v>150</v>
      </c>
      <c r="G5" s="8" t="s">
        <v>132</v>
      </c>
      <c r="H5" s="8" t="s">
        <v>547</v>
      </c>
      <c r="I5" s="6" t="s">
        <v>151</v>
      </c>
      <c r="J5" s="6" t="s">
        <v>160</v>
      </c>
      <c r="K5" s="6"/>
      <c r="L5" s="8" t="s">
        <v>136</v>
      </c>
      <c r="M5" s="8" t="s">
        <v>152</v>
      </c>
      <c r="N5" s="6" t="s">
        <v>153</v>
      </c>
      <c r="O5" s="6" t="s">
        <v>139</v>
      </c>
      <c r="P5" s="6" t="s">
        <v>160</v>
      </c>
      <c r="Q5" s="8" t="s">
        <v>141</v>
      </c>
      <c r="R5" s="8" t="s">
        <v>154</v>
      </c>
      <c r="S5" s="3">
        <v>14</v>
      </c>
      <c r="T5" s="3" t="s">
        <v>548</v>
      </c>
      <c r="U5" s="3" t="str">
        <f t="shared" si="0"/>
        <v xml:space="preserve"> from CREDITO_CRESA.dbo.cat_sexo nolock</v>
      </c>
      <c r="V5" s="6" t="str">
        <f t="shared" si="1"/>
        <v>select id,nombre  from CREDITO_CRESA.dbo.cat_sexo nolock</v>
      </c>
      <c r="W5" t="s">
        <v>552</v>
      </c>
      <c r="X5" t="s">
        <v>552</v>
      </c>
      <c r="Y5" t="s">
        <v>552</v>
      </c>
      <c r="Z5" t="s">
        <v>552</v>
      </c>
      <c r="AA5" t="s">
        <v>552</v>
      </c>
    </row>
    <row r="6" spans="2:27" x14ac:dyDescent="0.45">
      <c r="B6" s="3" t="s">
        <v>166</v>
      </c>
      <c r="C6" s="6" t="s">
        <v>165</v>
      </c>
      <c r="D6" s="6" t="s">
        <v>139</v>
      </c>
      <c r="E6" s="6" t="s">
        <v>171</v>
      </c>
      <c r="F6" s="8" t="s">
        <v>167</v>
      </c>
      <c r="G6" s="8" t="s">
        <v>132</v>
      </c>
      <c r="H6" s="8" t="s">
        <v>191</v>
      </c>
      <c r="I6" s="6" t="s">
        <v>168</v>
      </c>
      <c r="J6" s="6" t="s">
        <v>160</v>
      </c>
      <c r="K6" s="6"/>
      <c r="L6" s="8" t="s">
        <v>136</v>
      </c>
      <c r="M6" s="8" t="s">
        <v>169</v>
      </c>
      <c r="N6" s="6" t="s">
        <v>170</v>
      </c>
      <c r="O6" s="6" t="s">
        <v>139</v>
      </c>
      <c r="P6" s="6" t="s">
        <v>160</v>
      </c>
      <c r="Q6" s="8" t="s">
        <v>141</v>
      </c>
      <c r="R6" s="8" t="s">
        <v>179</v>
      </c>
      <c r="S6" s="3">
        <v>3</v>
      </c>
      <c r="T6" s="3" t="s">
        <v>548</v>
      </c>
      <c r="U6" s="3" t="str">
        <f t="shared" si="0"/>
        <v xml:space="preserve"> from CREDITO_CRESA.dbo.cat_estadocivil nolock</v>
      </c>
      <c r="V6" s="6" t="str">
        <f t="shared" si="1"/>
        <v>select id,nombre  from CREDITO_CRESA.dbo.cat_estadocivil nolock</v>
      </c>
      <c r="W6" t="s">
        <v>552</v>
      </c>
      <c r="X6" t="s">
        <v>552</v>
      </c>
      <c r="Y6" t="s">
        <v>552</v>
      </c>
      <c r="Z6" t="s">
        <v>552</v>
      </c>
      <c r="AA6" t="s">
        <v>552</v>
      </c>
    </row>
    <row r="7" spans="2:27" x14ac:dyDescent="0.45">
      <c r="B7" s="3" t="s">
        <v>180</v>
      </c>
      <c r="C7" s="6" t="s">
        <v>172</v>
      </c>
      <c r="D7" s="6" t="s">
        <v>139</v>
      </c>
      <c r="E7" s="6" t="s">
        <v>177</v>
      </c>
      <c r="F7" s="8" t="s">
        <v>173</v>
      </c>
      <c r="G7" s="8" t="s">
        <v>132</v>
      </c>
      <c r="H7" s="8" t="s">
        <v>190</v>
      </c>
      <c r="I7" s="6" t="s">
        <v>174</v>
      </c>
      <c r="J7" s="6" t="s">
        <v>160</v>
      </c>
      <c r="K7" s="6"/>
      <c r="L7" s="8" t="s">
        <v>136</v>
      </c>
      <c r="M7" s="8" t="s">
        <v>175</v>
      </c>
      <c r="N7" s="6" t="s">
        <v>176</v>
      </c>
      <c r="O7" s="6" t="s">
        <v>139</v>
      </c>
      <c r="P7" s="6" t="s">
        <v>160</v>
      </c>
      <c r="Q7" s="8" t="s">
        <v>141</v>
      </c>
      <c r="R7" s="8" t="s">
        <v>178</v>
      </c>
      <c r="S7" s="3">
        <v>7</v>
      </c>
      <c r="T7" s="3" t="s">
        <v>548</v>
      </c>
      <c r="U7" s="3" t="str">
        <f t="shared" si="0"/>
        <v xml:space="preserve"> from CREDITO_CRESA.dbo.cat_nivelinstruccion nolock</v>
      </c>
      <c r="V7" s="6" t="str">
        <f t="shared" si="1"/>
        <v>select id,nombre  from CREDITO_CRESA.dbo.cat_nivelinstruccion nolock</v>
      </c>
      <c r="W7" t="s">
        <v>552</v>
      </c>
      <c r="X7" t="s">
        <v>552</v>
      </c>
      <c r="Y7" t="s">
        <v>552</v>
      </c>
      <c r="Z7" t="s">
        <v>552</v>
      </c>
      <c r="AA7" t="s">
        <v>552</v>
      </c>
    </row>
    <row r="8" spans="2:27" x14ac:dyDescent="0.45">
      <c r="B8" s="3" t="s">
        <v>223</v>
      </c>
      <c r="C8" s="6" t="s">
        <v>181</v>
      </c>
      <c r="D8" s="6" t="s">
        <v>139</v>
      </c>
      <c r="E8" s="6" t="s">
        <v>186</v>
      </c>
      <c r="F8" s="8" t="s">
        <v>182</v>
      </c>
      <c r="G8" s="8" t="s">
        <v>132</v>
      </c>
      <c r="H8" s="8" t="s">
        <v>189</v>
      </c>
      <c r="I8" s="6" t="s">
        <v>183</v>
      </c>
      <c r="J8" s="6" t="s">
        <v>188</v>
      </c>
      <c r="K8" s="6"/>
      <c r="L8" s="8" t="s">
        <v>136</v>
      </c>
      <c r="M8" s="8" t="s">
        <v>184</v>
      </c>
      <c r="N8" s="6" t="s">
        <v>185</v>
      </c>
      <c r="O8" s="6" t="s">
        <v>139</v>
      </c>
      <c r="P8" s="6" t="s">
        <v>188</v>
      </c>
      <c r="Q8" s="8" t="s">
        <v>141</v>
      </c>
      <c r="R8" s="8" t="s">
        <v>187</v>
      </c>
      <c r="S8" s="3">
        <v>11</v>
      </c>
      <c r="T8" s="3" t="s">
        <v>548</v>
      </c>
      <c r="U8" s="3" t="str">
        <f t="shared" si="0"/>
        <v xml:space="preserve"> from CREDITO_CRESA.dbo.cat_provincia nolock</v>
      </c>
      <c r="V8" s="6" t="str">
        <f t="shared" si="1"/>
        <v>select id,pais_id,cod,pais_cod,region_cod,nombre,cinec,es_activo  from CREDITO_CRESA.dbo.cat_provincia nolock</v>
      </c>
      <c r="W8" t="s">
        <v>552</v>
      </c>
      <c r="X8" t="s">
        <v>552</v>
      </c>
      <c r="Y8" t="s">
        <v>552</v>
      </c>
      <c r="Z8" t="s">
        <v>552</v>
      </c>
      <c r="AA8" t="s">
        <v>552</v>
      </c>
    </row>
    <row r="9" spans="2:27" x14ac:dyDescent="0.45">
      <c r="B9" s="3" t="s">
        <v>222</v>
      </c>
      <c r="C9" s="6" t="s">
        <v>193</v>
      </c>
      <c r="D9" s="6" t="s">
        <v>139</v>
      </c>
      <c r="E9" s="6" t="s">
        <v>198</v>
      </c>
      <c r="F9" s="8" t="s">
        <v>194</v>
      </c>
      <c r="G9" s="8" t="s">
        <v>132</v>
      </c>
      <c r="H9" s="8" t="s">
        <v>199</v>
      </c>
      <c r="I9" s="6" t="s">
        <v>195</v>
      </c>
      <c r="J9" s="6" t="s">
        <v>201</v>
      </c>
      <c r="K9" s="6"/>
      <c r="L9" s="8" t="s">
        <v>136</v>
      </c>
      <c r="M9" s="8" t="s">
        <v>196</v>
      </c>
      <c r="N9" s="6" t="s">
        <v>197</v>
      </c>
      <c r="O9" s="6" t="s">
        <v>139</v>
      </c>
      <c r="P9" s="6" t="s">
        <v>201</v>
      </c>
      <c r="Q9" s="8" t="s">
        <v>141</v>
      </c>
      <c r="R9" s="8" t="s">
        <v>200</v>
      </c>
      <c r="S9" s="3">
        <v>2</v>
      </c>
      <c r="T9" s="3" t="s">
        <v>548</v>
      </c>
      <c r="U9" s="3" t="str">
        <f t="shared" si="0"/>
        <v xml:space="preserve"> from CREDITO_CRESA.dbo.cat_canton nolock</v>
      </c>
      <c r="V9" s="6" t="str">
        <f t="shared" si="1"/>
        <v>select id,provincia_id,cod,pais_cod,provincia_cod,nombre,prefijo,cinec,es_activo  from CREDITO_CRESA.dbo.cat_canton nolock</v>
      </c>
      <c r="W9" t="s">
        <v>552</v>
      </c>
      <c r="X9" t="s">
        <v>552</v>
      </c>
      <c r="Y9" t="s">
        <v>552</v>
      </c>
      <c r="Z9" t="s">
        <v>552</v>
      </c>
      <c r="AA9" t="s">
        <v>552</v>
      </c>
    </row>
    <row r="10" spans="2:27" x14ac:dyDescent="0.45">
      <c r="B10" s="3" t="s">
        <v>221</v>
      </c>
      <c r="C10" s="6" t="s">
        <v>202</v>
      </c>
      <c r="D10" s="6" t="s">
        <v>139</v>
      </c>
      <c r="E10" s="6" t="s">
        <v>207</v>
      </c>
      <c r="F10" s="8" t="s">
        <v>203</v>
      </c>
      <c r="G10" s="8" t="s">
        <v>132</v>
      </c>
      <c r="H10" s="8" t="s">
        <v>208</v>
      </c>
      <c r="I10" s="6" t="s">
        <v>204</v>
      </c>
      <c r="J10" s="6" t="s">
        <v>210</v>
      </c>
      <c r="K10" s="6"/>
      <c r="L10" s="8" t="s">
        <v>136</v>
      </c>
      <c r="M10" s="8" t="s">
        <v>205</v>
      </c>
      <c r="N10" s="6" t="s">
        <v>206</v>
      </c>
      <c r="O10" s="6" t="s">
        <v>139</v>
      </c>
      <c r="P10" s="6" t="s">
        <v>210</v>
      </c>
      <c r="Q10" s="8" t="s">
        <v>141</v>
      </c>
      <c r="R10" s="8" t="s">
        <v>209</v>
      </c>
      <c r="S10" s="3">
        <v>9</v>
      </c>
      <c r="T10" s="3" t="s">
        <v>548</v>
      </c>
      <c r="U10" s="3" t="str">
        <f t="shared" si="0"/>
        <v xml:space="preserve"> from CREDITO_CRESA.dbo.cat_parroquia nolock</v>
      </c>
      <c r="V10" s="6" t="str">
        <f t="shared" si="1"/>
        <v>select id,canton_id,cod,pais_cod,provincia_cod,canton_cod,nombre,cinec,es_activo  from CREDITO_CRESA.dbo.cat_parroquia nolock</v>
      </c>
      <c r="W10" t="s">
        <v>552</v>
      </c>
      <c r="X10" t="s">
        <v>552</v>
      </c>
      <c r="Y10" t="s">
        <v>552</v>
      </c>
      <c r="Z10" t="s">
        <v>552</v>
      </c>
      <c r="AA10" t="s">
        <v>552</v>
      </c>
    </row>
    <row r="11" spans="2:27" x14ac:dyDescent="0.45">
      <c r="B11" s="3" t="s">
        <v>220</v>
      </c>
      <c r="C11" s="6" t="s">
        <v>211</v>
      </c>
      <c r="D11" s="6" t="s">
        <v>139</v>
      </c>
      <c r="E11" s="6" t="s">
        <v>216</v>
      </c>
      <c r="F11" s="8" t="s">
        <v>212</v>
      </c>
      <c r="G11" s="8" t="s">
        <v>132</v>
      </c>
      <c r="H11" s="8" t="s">
        <v>217</v>
      </c>
      <c r="I11" s="6" t="s">
        <v>213</v>
      </c>
      <c r="J11" s="6" t="s">
        <v>219</v>
      </c>
      <c r="K11" s="6"/>
      <c r="L11" s="8" t="s">
        <v>136</v>
      </c>
      <c r="M11" s="8" t="s">
        <v>214</v>
      </c>
      <c r="N11" s="6" t="s">
        <v>215</v>
      </c>
      <c r="O11" s="6" t="s">
        <v>139</v>
      </c>
      <c r="P11" s="6" t="s">
        <v>219</v>
      </c>
      <c r="Q11" s="8" t="s">
        <v>141</v>
      </c>
      <c r="R11" s="8" t="s">
        <v>218</v>
      </c>
      <c r="S11" s="3">
        <v>15</v>
      </c>
      <c r="T11" s="3" t="s">
        <v>548</v>
      </c>
      <c r="U11" s="3" t="str">
        <f t="shared" si="0"/>
        <v xml:space="preserve"> from CREDITO_CRESA.dbo.cat_solicitud_estados nolock</v>
      </c>
      <c r="V11" s="6" t="str">
        <f t="shared" si="1"/>
        <v>select id,creado,actualizado,creado_por,nombre,es_activo  from CREDITO_CRESA.dbo.cat_solicitud_estados nolock</v>
      </c>
      <c r="W11" t="s">
        <v>552</v>
      </c>
      <c r="X11" t="s">
        <v>552</v>
      </c>
      <c r="Y11" t="s">
        <v>552</v>
      </c>
      <c r="Z11" t="s">
        <v>552</v>
      </c>
      <c r="AA11" t="s">
        <v>552</v>
      </c>
    </row>
    <row r="12" spans="2:27" x14ac:dyDescent="0.45">
      <c r="B12" s="3" t="s">
        <v>234</v>
      </c>
      <c r="C12" s="6" t="s">
        <v>235</v>
      </c>
      <c r="D12" s="6" t="s">
        <v>139</v>
      </c>
      <c r="E12" s="6" t="s">
        <v>240</v>
      </c>
      <c r="F12" s="8" t="s">
        <v>236</v>
      </c>
      <c r="G12" s="8" t="s">
        <v>132</v>
      </c>
      <c r="H12" s="8" t="s">
        <v>241</v>
      </c>
      <c r="I12" s="6" t="s">
        <v>237</v>
      </c>
      <c r="J12" s="6" t="s">
        <v>243</v>
      </c>
      <c r="K12" s="6"/>
      <c r="L12" s="8" t="s">
        <v>136</v>
      </c>
      <c r="M12" s="8" t="s">
        <v>238</v>
      </c>
      <c r="N12" s="6" t="s">
        <v>239</v>
      </c>
      <c r="O12" s="6" t="s">
        <v>139</v>
      </c>
      <c r="P12" s="6" t="s">
        <v>243</v>
      </c>
      <c r="Q12" s="8" t="s">
        <v>141</v>
      </c>
      <c r="R12" s="8" t="s">
        <v>242</v>
      </c>
      <c r="S12" s="3">
        <v>1</v>
      </c>
      <c r="T12" s="3" t="s">
        <v>548</v>
      </c>
      <c r="U12" s="3" t="str">
        <f t="shared" si="0"/>
        <v xml:space="preserve"> from CREDITO_CRESA.dbo.cat_almacen nolock</v>
      </c>
      <c r="V12" s="6" t="str">
        <f t="shared" si="1"/>
        <v>select id,empresa_id,grupo_id,unidadnegocio_id,canton_id,canal_id,nombre,canal_dimension,unidadnegocio_dimension,empresacomercial,aplica_biometria,es_fisica,es_activo  from CREDITO_CRESA.dbo.cat_almacen nolock</v>
      </c>
      <c r="W12" t="s">
        <v>552</v>
      </c>
      <c r="X12" t="s">
        <v>552</v>
      </c>
      <c r="Y12" t="s">
        <v>552</v>
      </c>
      <c r="Z12" t="s">
        <v>552</v>
      </c>
      <c r="AA12" t="s">
        <v>552</v>
      </c>
    </row>
    <row r="13" spans="2:27" x14ac:dyDescent="0.45">
      <c r="B13" s="3" t="s">
        <v>244</v>
      </c>
      <c r="C13" s="6" t="s">
        <v>245</v>
      </c>
      <c r="D13" s="6" t="s">
        <v>139</v>
      </c>
      <c r="E13" s="6" t="s">
        <v>250</v>
      </c>
      <c r="F13" s="8" t="s">
        <v>246</v>
      </c>
      <c r="G13" s="8" t="s">
        <v>132</v>
      </c>
      <c r="H13" s="8" t="s">
        <v>251</v>
      </c>
      <c r="I13" s="6" t="s">
        <v>247</v>
      </c>
      <c r="J13" s="6" t="s">
        <v>253</v>
      </c>
      <c r="K13" s="6"/>
      <c r="L13" s="8" t="s">
        <v>136</v>
      </c>
      <c r="M13" s="8" t="s">
        <v>248</v>
      </c>
      <c r="N13" s="6" t="s">
        <v>249</v>
      </c>
      <c r="O13" s="6" t="s">
        <v>139</v>
      </c>
      <c r="P13" s="6" t="s">
        <v>253</v>
      </c>
      <c r="Q13" s="8" t="s">
        <v>141</v>
      </c>
      <c r="R13" s="8" t="s">
        <v>252</v>
      </c>
      <c r="S13" s="3">
        <v>5</v>
      </c>
      <c r="T13" s="3" t="s">
        <v>548</v>
      </c>
      <c r="U13" s="3" t="str">
        <f t="shared" si="0"/>
        <v xml:space="preserve"> from CREDITO_CRESA.dbo.cat_modelo_aprobador nolock</v>
      </c>
      <c r="V13" s="6" t="str">
        <f t="shared" si="1"/>
        <v>select id,calificacion_buro_id,calificacion_confianza_id,calificacion_final_id,origen_id,zona_riesgo_id,tipo_cliente_id,dependencia_id,grupo_id,edad_min,edad_max,nacionalidad,capacidad_pago,tipo_verificacion,entrada_base,es_activo,fecha_creacion,actualizado,creado_por,actualizado_por,unidadnegocio_id,canal_id  from CREDITO_CRESA.dbo.cat_modelo_aprobador nolock</v>
      </c>
      <c r="W13" t="s">
        <v>552</v>
      </c>
      <c r="X13" t="s">
        <v>552</v>
      </c>
      <c r="Y13" t="s">
        <v>552</v>
      </c>
      <c r="Z13" t="s">
        <v>552</v>
      </c>
      <c r="AA13" t="s">
        <v>552</v>
      </c>
    </row>
    <row r="14" spans="2:27" x14ac:dyDescent="0.45">
      <c r="B14" s="3" t="s">
        <v>254</v>
      </c>
      <c r="C14" s="6" t="s">
        <v>255</v>
      </c>
      <c r="D14" s="6" t="s">
        <v>139</v>
      </c>
      <c r="E14" s="6" t="s">
        <v>260</v>
      </c>
      <c r="F14" s="8" t="s">
        <v>256</v>
      </c>
      <c r="G14" s="8" t="s">
        <v>132</v>
      </c>
      <c r="H14" s="8" t="s">
        <v>261</v>
      </c>
      <c r="I14" s="6" t="s">
        <v>257</v>
      </c>
      <c r="J14" s="6" t="s">
        <v>263</v>
      </c>
      <c r="K14" s="6"/>
      <c r="L14" s="8" t="s">
        <v>136</v>
      </c>
      <c r="M14" s="8" t="s">
        <v>258</v>
      </c>
      <c r="N14" s="6" t="s">
        <v>259</v>
      </c>
      <c r="O14" s="6" t="s">
        <v>139</v>
      </c>
      <c r="P14" s="6" t="s">
        <v>263</v>
      </c>
      <c r="Q14" s="8" t="s">
        <v>141</v>
      </c>
      <c r="R14" s="8" t="s">
        <v>262</v>
      </c>
      <c r="S14" s="3">
        <v>8</v>
      </c>
      <c r="T14" s="3" t="s">
        <v>548</v>
      </c>
      <c r="U14" s="3" t="str">
        <f t="shared" si="0"/>
        <v xml:space="preserve"> from CREDITO_CRESA.dbo.cat_origen nolock</v>
      </c>
      <c r="V14" s="6" t="str">
        <f t="shared" si="1"/>
        <v>select id,fecha_creacion,actualizado,creado_por,actualizado_por,codigo_externo,nombre,es_activo  from CREDITO_CRESA.dbo.cat_origen nolock</v>
      </c>
      <c r="W14" t="s">
        <v>552</v>
      </c>
      <c r="X14" t="s">
        <v>552</v>
      </c>
      <c r="Y14" t="s">
        <v>552</v>
      </c>
      <c r="Z14" t="s">
        <v>552</v>
      </c>
      <c r="AA14" t="s">
        <v>552</v>
      </c>
    </row>
    <row r="15" spans="2:27" x14ac:dyDescent="0.45">
      <c r="B15" s="3" t="s">
        <v>264</v>
      </c>
      <c r="C15" s="6" t="s">
        <v>265</v>
      </c>
      <c r="D15" s="6" t="s">
        <v>139</v>
      </c>
      <c r="E15" s="6" t="s">
        <v>270</v>
      </c>
      <c r="F15" s="8" t="s">
        <v>266</v>
      </c>
      <c r="G15" s="8" t="s">
        <v>132</v>
      </c>
      <c r="H15" s="8" t="s">
        <v>271</v>
      </c>
      <c r="I15" s="6" t="s">
        <v>267</v>
      </c>
      <c r="J15" s="6" t="s">
        <v>273</v>
      </c>
      <c r="K15" s="6"/>
      <c r="L15" s="8" t="s">
        <v>136</v>
      </c>
      <c r="M15" s="8" t="s">
        <v>268</v>
      </c>
      <c r="N15" s="6" t="s">
        <v>269</v>
      </c>
      <c r="O15" s="6" t="s">
        <v>139</v>
      </c>
      <c r="P15" s="6" t="s">
        <v>273</v>
      </c>
      <c r="Q15" s="8" t="s">
        <v>141</v>
      </c>
      <c r="R15" s="8" t="s">
        <v>272</v>
      </c>
      <c r="S15" s="3">
        <v>6</v>
      </c>
      <c r="T15" s="3" t="s">
        <v>548</v>
      </c>
      <c r="U15" s="3" t="str">
        <f t="shared" si="0"/>
        <v xml:space="preserve"> from CREDITO_CRESA.dbo.cat_modelo_calificacion nolock</v>
      </c>
      <c r="V15" s="6" t="str">
        <f t="shared" si="1"/>
        <v>select id,fecha_creacion,actualizado,creado_por,actualizado_por,confianza_desde,confianza_hasta,nombre,es_activo  from CREDITO_CRESA.dbo.cat_modelo_calificacion nolock</v>
      </c>
      <c r="W15" t="s">
        <v>552</v>
      </c>
      <c r="X15" t="s">
        <v>552</v>
      </c>
      <c r="Y15" t="s">
        <v>552</v>
      </c>
      <c r="Z15" t="s">
        <v>552</v>
      </c>
      <c r="AA15" t="s">
        <v>552</v>
      </c>
    </row>
    <row r="16" spans="2:27" x14ac:dyDescent="0.45">
      <c r="B16" s="3" t="s">
        <v>274</v>
      </c>
      <c r="C16" s="6" t="s">
        <v>275</v>
      </c>
      <c r="D16" s="6" t="s">
        <v>139</v>
      </c>
      <c r="E16" s="6" t="s">
        <v>280</v>
      </c>
      <c r="F16" s="8" t="s">
        <v>276</v>
      </c>
      <c r="G16" s="8" t="s">
        <v>132</v>
      </c>
      <c r="H16" s="8" t="s">
        <v>281</v>
      </c>
      <c r="I16" s="6" t="s">
        <v>277</v>
      </c>
      <c r="J16" s="6" t="s">
        <v>159</v>
      </c>
      <c r="K16" s="6"/>
      <c r="L16" s="8" t="s">
        <v>136</v>
      </c>
      <c r="M16" s="8" t="s">
        <v>278</v>
      </c>
      <c r="N16" s="6" t="s">
        <v>279</v>
      </c>
      <c r="O16" s="6" t="s">
        <v>139</v>
      </c>
      <c r="P16" s="6" t="s">
        <v>159</v>
      </c>
      <c r="Q16" s="8" t="s">
        <v>141</v>
      </c>
      <c r="R16" s="8" t="s">
        <v>282</v>
      </c>
      <c r="S16" s="3">
        <v>17</v>
      </c>
      <c r="T16" s="3" t="s">
        <v>548</v>
      </c>
      <c r="U16" s="3" t="str">
        <f t="shared" si="0"/>
        <v xml:space="preserve"> from CREDITO_CRESA.dbo.cat_tipovinculo nolock</v>
      </c>
      <c r="V16" s="6" t="str">
        <f t="shared" si="1"/>
        <v>select id,nombre,es_activo  from CREDITO_CRESA.dbo.cat_tipovinculo nolock</v>
      </c>
      <c r="W16" t="s">
        <v>552</v>
      </c>
      <c r="X16" t="s">
        <v>552</v>
      </c>
      <c r="Y16" t="s">
        <v>552</v>
      </c>
      <c r="Z16" t="s">
        <v>552</v>
      </c>
      <c r="AA16" t="s">
        <v>552</v>
      </c>
    </row>
    <row r="17" spans="1:27" x14ac:dyDescent="0.45">
      <c r="B17" s="3" t="s">
        <v>283</v>
      </c>
      <c r="C17" s="6" t="s">
        <v>284</v>
      </c>
      <c r="D17" s="6" t="s">
        <v>139</v>
      </c>
      <c r="E17" s="6" t="s">
        <v>288</v>
      </c>
      <c r="F17" s="8" t="s">
        <v>285</v>
      </c>
      <c r="G17" s="8" t="s">
        <v>132</v>
      </c>
      <c r="H17" s="8" t="s">
        <v>289</v>
      </c>
      <c r="I17" s="6" t="s">
        <v>286</v>
      </c>
      <c r="J17" s="6" t="s">
        <v>291</v>
      </c>
      <c r="K17" s="6"/>
      <c r="L17" s="8" t="s">
        <v>136</v>
      </c>
      <c r="M17" s="8" t="s">
        <v>287</v>
      </c>
      <c r="N17" s="6" t="s">
        <v>279</v>
      </c>
      <c r="O17" s="6" t="s">
        <v>139</v>
      </c>
      <c r="P17" s="6" t="s">
        <v>291</v>
      </c>
      <c r="Q17" s="8" t="s">
        <v>141</v>
      </c>
      <c r="R17" s="8" t="s">
        <v>290</v>
      </c>
      <c r="S17" s="3">
        <v>16</v>
      </c>
      <c r="T17" s="3" t="s">
        <v>548</v>
      </c>
      <c r="U17" s="3" t="str">
        <f t="shared" si="0"/>
        <v xml:space="preserve"> from CREDITO_CRESA.dbo.cat_tipoverificacion nolock</v>
      </c>
      <c r="V17" s="6" t="str">
        <f t="shared" si="1"/>
        <v>select id,nombre,jerarquia,estado,creado,actualizado,creado_por,actualizado_por,naturaleza  from CREDITO_CRESA.dbo.cat_tipoverificacion nolock</v>
      </c>
      <c r="W17" t="s">
        <v>552</v>
      </c>
      <c r="X17" t="s">
        <v>552</v>
      </c>
      <c r="Y17" t="s">
        <v>552</v>
      </c>
      <c r="Z17" t="s">
        <v>552</v>
      </c>
      <c r="AA17" t="s">
        <v>552</v>
      </c>
    </row>
    <row r="18" spans="1:27" x14ac:dyDescent="0.45">
      <c r="B18" s="3" t="s">
        <v>292</v>
      </c>
      <c r="C18" s="6" t="s">
        <v>293</v>
      </c>
      <c r="D18" s="6" t="s">
        <v>139</v>
      </c>
      <c r="E18" s="6" t="s">
        <v>298</v>
      </c>
      <c r="F18" s="8" t="s">
        <v>294</v>
      </c>
      <c r="G18" s="8" t="s">
        <v>132</v>
      </c>
      <c r="H18" s="8" t="s">
        <v>299</v>
      </c>
      <c r="I18" s="6" t="s">
        <v>295</v>
      </c>
      <c r="J18" s="6" t="s">
        <v>301</v>
      </c>
      <c r="K18" s="6"/>
      <c r="L18" s="8" t="s">
        <v>136</v>
      </c>
      <c r="M18" s="8" t="s">
        <v>296</v>
      </c>
      <c r="N18" s="6" t="s">
        <v>297</v>
      </c>
      <c r="O18" s="6" t="s">
        <v>139</v>
      </c>
      <c r="P18" s="6" t="s">
        <v>301</v>
      </c>
      <c r="Q18" s="8" t="s">
        <v>141</v>
      </c>
      <c r="R18" s="8" t="s">
        <v>300</v>
      </c>
      <c r="S18" s="3">
        <v>4</v>
      </c>
      <c r="T18" s="3" t="s">
        <v>548</v>
      </c>
      <c r="U18" s="3" t="str">
        <f t="shared" si="0"/>
        <v xml:space="preserve"> from CREDITO_CRESA.dbo.cat_estadoverificacion nolock</v>
      </c>
      <c r="V18" s="6" t="str">
        <f t="shared" si="1"/>
        <v>select id,nombre,activo,tipo_verificacion,resolutivo,naturaleza  from CREDITO_CRESA.dbo.cat_estadoverificacion nolock</v>
      </c>
      <c r="W18" t="s">
        <v>552</v>
      </c>
      <c r="X18" t="s">
        <v>552</v>
      </c>
      <c r="Y18" t="s">
        <v>552</v>
      </c>
      <c r="Z18" t="s">
        <v>552</v>
      </c>
      <c r="AA18" t="s">
        <v>552</v>
      </c>
    </row>
    <row r="19" spans="1:27" x14ac:dyDescent="0.45">
      <c r="B19" s="3" t="s">
        <v>302</v>
      </c>
      <c r="C19" s="6" t="s">
        <v>303</v>
      </c>
      <c r="D19" s="6" t="s">
        <v>139</v>
      </c>
      <c r="E19" s="6" t="s">
        <v>308</v>
      </c>
      <c r="F19" s="8" t="s">
        <v>304</v>
      </c>
      <c r="G19" s="8" t="s">
        <v>132</v>
      </c>
      <c r="H19" s="8" t="s">
        <v>309</v>
      </c>
      <c r="I19" s="6" t="s">
        <v>305</v>
      </c>
      <c r="J19" s="6" t="s">
        <v>311</v>
      </c>
      <c r="K19" s="6"/>
      <c r="L19" s="8" t="s">
        <v>136</v>
      </c>
      <c r="M19" s="8" t="s">
        <v>306</v>
      </c>
      <c r="N19" s="6" t="s">
        <v>307</v>
      </c>
      <c r="O19" s="6" t="s">
        <v>139</v>
      </c>
      <c r="P19" s="6" t="s">
        <v>311</v>
      </c>
      <c r="Q19" s="8" t="s">
        <v>141</v>
      </c>
      <c r="R19" s="8" t="s">
        <v>310</v>
      </c>
      <c r="S19" s="3">
        <v>12</v>
      </c>
      <c r="T19" s="3" t="s">
        <v>548</v>
      </c>
      <c r="U19" s="3" t="str">
        <f t="shared" si="0"/>
        <v xml:space="preserve"> from CREDITO_CRESA.dbo.cat_sector nolock</v>
      </c>
      <c r="V19" s="6" t="str">
        <f t="shared" si="1"/>
        <v>select id,nombre,es_activo,cat_zona_id,creado,actualizado,creado_por,actualizado_por,gestor_id  from CREDITO_CRESA.dbo.cat_sector nolock</v>
      </c>
      <c r="W19" t="s">
        <v>552</v>
      </c>
      <c r="X19" t="s">
        <v>552</v>
      </c>
      <c r="Y19" t="s">
        <v>552</v>
      </c>
      <c r="Z19" t="s">
        <v>552</v>
      </c>
      <c r="AA19" t="s">
        <v>552</v>
      </c>
    </row>
    <row r="20" spans="1:27" x14ac:dyDescent="0.45">
      <c r="B20" s="3" t="s">
        <v>321</v>
      </c>
      <c r="C20" s="6" t="s">
        <v>312</v>
      </c>
      <c r="D20" s="6" t="s">
        <v>139</v>
      </c>
      <c r="E20" s="6" t="s">
        <v>317</v>
      </c>
      <c r="F20" s="8" t="s">
        <v>313</v>
      </c>
      <c r="G20" s="8" t="s">
        <v>132</v>
      </c>
      <c r="H20" s="8" t="s">
        <v>318</v>
      </c>
      <c r="I20" s="6" t="s">
        <v>314</v>
      </c>
      <c r="J20" s="6" t="s">
        <v>320</v>
      </c>
      <c r="K20" s="6"/>
      <c r="L20" s="8" t="s">
        <v>136</v>
      </c>
      <c r="M20" s="8" t="s">
        <v>315</v>
      </c>
      <c r="N20" s="6" t="s">
        <v>316</v>
      </c>
      <c r="O20" s="6" t="s">
        <v>139</v>
      </c>
      <c r="P20" s="6" t="s">
        <v>320</v>
      </c>
      <c r="Q20" s="8" t="s">
        <v>141</v>
      </c>
      <c r="R20" s="8" t="s">
        <v>319</v>
      </c>
      <c r="S20" s="3">
        <v>13</v>
      </c>
      <c r="T20" s="3" t="s">
        <v>548</v>
      </c>
      <c r="U20" s="3" t="str">
        <f t="shared" si="0"/>
        <v xml:space="preserve"> from CREDITO_CRESA.dbo.cat_sector_riesgo_geocerca nolock</v>
      </c>
      <c r="V20" s="6" t="str">
        <f t="shared" si="1"/>
        <v>select id,cat_sector_riesgo_id,latitud,longitud,creado,actualizado,creado_por,actualizado_por  from CREDITO_CRESA.dbo.cat_sector_riesgo_geocerca nolock</v>
      </c>
      <c r="W20" t="s">
        <v>552</v>
      </c>
      <c r="X20" t="s">
        <v>552</v>
      </c>
      <c r="Y20" t="s">
        <v>552</v>
      </c>
      <c r="Z20" t="s">
        <v>552</v>
      </c>
      <c r="AA20" t="s">
        <v>552</v>
      </c>
    </row>
    <row r="21" spans="1:27" x14ac:dyDescent="0.45">
      <c r="B21" s="3" t="s">
        <v>322</v>
      </c>
      <c r="C21" s="6" t="s">
        <v>293</v>
      </c>
      <c r="D21" s="6" t="s">
        <v>139</v>
      </c>
      <c r="E21" s="6" t="s">
        <v>298</v>
      </c>
      <c r="F21" s="8" t="s">
        <v>294</v>
      </c>
      <c r="G21" s="8" t="s">
        <v>132</v>
      </c>
      <c r="H21" s="8" t="s">
        <v>299</v>
      </c>
      <c r="I21" s="6" t="s">
        <v>295</v>
      </c>
      <c r="J21" s="6" t="s">
        <v>301</v>
      </c>
      <c r="K21" s="6"/>
      <c r="L21" s="8" t="s">
        <v>136</v>
      </c>
      <c r="M21" s="8" t="s">
        <v>296</v>
      </c>
      <c r="N21" s="6" t="s">
        <v>297</v>
      </c>
      <c r="O21" s="6" t="s">
        <v>139</v>
      </c>
      <c r="P21" s="6" t="s">
        <v>301</v>
      </c>
      <c r="Q21" s="8" t="s">
        <v>141</v>
      </c>
      <c r="R21" s="8" t="s">
        <v>300</v>
      </c>
      <c r="T21" s="3" t="s">
        <v>548</v>
      </c>
      <c r="U21" s="3" t="str">
        <f t="shared" si="0"/>
        <v xml:space="preserve"> from CREDITO_CRESA.dbo.cat_estadoverificacion nolock</v>
      </c>
      <c r="V21" s="11" t="str">
        <f t="shared" si="1"/>
        <v>select id,nombre,activo,tipo_verificacion,resolutivo,naturaleza  from CREDITO_CRESA.dbo.cat_estadoverificacion nolock</v>
      </c>
      <c r="W21" t="s">
        <v>552</v>
      </c>
      <c r="X21" t="s">
        <v>552</v>
      </c>
      <c r="Y21" t="s">
        <v>552</v>
      </c>
      <c r="Z21" t="s">
        <v>552</v>
      </c>
      <c r="AA21" t="s">
        <v>552</v>
      </c>
    </row>
    <row r="22" spans="1:27" x14ac:dyDescent="0.45">
      <c r="A22" s="12"/>
      <c r="B22" s="3" t="s">
        <v>324</v>
      </c>
      <c r="C22" s="6" t="s">
        <v>325</v>
      </c>
      <c r="D22" s="6" t="s">
        <v>139</v>
      </c>
      <c r="E22" s="6" t="s">
        <v>329</v>
      </c>
      <c r="F22" s="8" t="s">
        <v>326</v>
      </c>
      <c r="G22" s="8" t="s">
        <v>132</v>
      </c>
      <c r="H22" s="8" t="s">
        <v>330</v>
      </c>
      <c r="I22" s="6" t="s">
        <v>327</v>
      </c>
      <c r="J22" s="6" t="s">
        <v>159</v>
      </c>
      <c r="K22" s="6"/>
      <c r="L22" s="8" t="s">
        <v>136</v>
      </c>
      <c r="M22" s="8" t="s">
        <v>296</v>
      </c>
      <c r="N22" s="6" t="s">
        <v>328</v>
      </c>
      <c r="O22" s="6" t="s">
        <v>139</v>
      </c>
      <c r="P22" s="6" t="s">
        <v>159</v>
      </c>
      <c r="Q22" s="8" t="s">
        <v>141</v>
      </c>
      <c r="R22" s="8" t="s">
        <v>331</v>
      </c>
      <c r="S22" s="3">
        <v>10</v>
      </c>
      <c r="T22" s="3" t="s">
        <v>548</v>
      </c>
      <c r="U22" s="3" t="str">
        <f t="shared" si="0"/>
        <v xml:space="preserve"> from CREDITO_CRESA.dbo.cat_profesion nolock</v>
      </c>
      <c r="V22" s="6" t="str">
        <f t="shared" si="1"/>
        <v>select id,nombre,es_activo  from CREDITO_CRESA.dbo.cat_profesion nolock</v>
      </c>
      <c r="W22" t="s">
        <v>552</v>
      </c>
      <c r="X22" t="s">
        <v>552</v>
      </c>
      <c r="Y22" t="s">
        <v>552</v>
      </c>
      <c r="Z22" t="s">
        <v>552</v>
      </c>
      <c r="AA22" t="s">
        <v>552</v>
      </c>
    </row>
    <row r="24" spans="1:27" x14ac:dyDescent="0.45">
      <c r="B24" s="4" t="s">
        <v>125</v>
      </c>
      <c r="I24" s="3" t="s">
        <v>323</v>
      </c>
    </row>
    <row r="25" spans="1:27" x14ac:dyDescent="0.45">
      <c r="B25" s="4" t="s">
        <v>127</v>
      </c>
      <c r="C25" s="5" t="s">
        <v>129</v>
      </c>
      <c r="D25" s="5" t="s">
        <v>133</v>
      </c>
      <c r="E25" s="5" t="s">
        <v>134</v>
      </c>
      <c r="F25" s="7" t="s">
        <v>131</v>
      </c>
      <c r="G25" s="7" t="s">
        <v>147</v>
      </c>
      <c r="H25" s="7" t="s">
        <v>157</v>
      </c>
      <c r="I25" s="5" t="s">
        <v>144</v>
      </c>
      <c r="J25" s="5" t="s">
        <v>161</v>
      </c>
      <c r="K25" s="5"/>
      <c r="L25" s="7" t="s">
        <v>145</v>
      </c>
      <c r="M25" s="7" t="s">
        <v>162</v>
      </c>
      <c r="N25" s="5" t="s">
        <v>146</v>
      </c>
      <c r="O25" s="5" t="s">
        <v>164</v>
      </c>
      <c r="P25" s="5" t="s">
        <v>163</v>
      </c>
      <c r="Q25" s="7" t="s">
        <v>140</v>
      </c>
      <c r="R25" s="7" t="s">
        <v>142</v>
      </c>
      <c r="S25" s="4"/>
      <c r="U25" s="6"/>
    </row>
    <row r="26" spans="1:27" x14ac:dyDescent="0.45">
      <c r="B26" s="3" t="s">
        <v>225</v>
      </c>
      <c r="C26" s="6" t="s">
        <v>224</v>
      </c>
      <c r="D26" s="6" t="s">
        <v>139</v>
      </c>
      <c r="E26" s="6" t="s">
        <v>231</v>
      </c>
      <c r="F26" s="8" t="s">
        <v>226</v>
      </c>
      <c r="G26" s="8" t="s">
        <v>132</v>
      </c>
      <c r="H26" s="8" t="s">
        <v>232</v>
      </c>
      <c r="I26" s="6" t="s">
        <v>227</v>
      </c>
      <c r="J26" s="6" t="s">
        <v>230</v>
      </c>
      <c r="K26" s="6"/>
      <c r="L26" s="8" t="s">
        <v>136</v>
      </c>
      <c r="M26" s="8" t="s">
        <v>228</v>
      </c>
      <c r="N26" s="6" t="s">
        <v>229</v>
      </c>
      <c r="O26" s="6" t="s">
        <v>139</v>
      </c>
      <c r="P26" s="6" t="s">
        <v>230</v>
      </c>
      <c r="Q26" s="8" t="s">
        <v>141</v>
      </c>
      <c r="R26" s="8" t="s">
        <v>233</v>
      </c>
      <c r="S26" s="3">
        <v>29</v>
      </c>
      <c r="T26" s="3" t="s">
        <v>548</v>
      </c>
      <c r="U26" s="6" t="str">
        <f t="shared" ref="U26:U31" si="2">MID(H26,9,80)</f>
        <v xml:space="preserve"> from CREDITO_CRESA.dbo.sec_usuario nolock</v>
      </c>
      <c r="V26" s="6" t="str">
        <f t="shared" ref="V26:V31" si="3">_xlfn.CONCAT(T26," ",P26," ",U26)</f>
        <v>select id,perfil_id,almacen_id,email,nombre_completo,activo,creado,actualizado,creado_por,actualizado_por,clave,identificacion  from CREDITO_CRESA.dbo.sec_usuario nolock</v>
      </c>
      <c r="W26" t="s">
        <v>552</v>
      </c>
      <c r="X26" t="s">
        <v>552</v>
      </c>
      <c r="Y26" t="s">
        <v>552</v>
      </c>
      <c r="Z26" t="s">
        <v>552</v>
      </c>
      <c r="AA26" t="s">
        <v>552</v>
      </c>
    </row>
    <row r="27" spans="1:27" x14ac:dyDescent="0.45">
      <c r="B27" s="3" t="s">
        <v>332</v>
      </c>
      <c r="C27" s="6" t="s">
        <v>333</v>
      </c>
      <c r="D27" s="6" t="s">
        <v>139</v>
      </c>
      <c r="E27" s="6" t="s">
        <v>338</v>
      </c>
      <c r="F27" s="8" t="s">
        <v>334</v>
      </c>
      <c r="G27" s="8" t="s">
        <v>132</v>
      </c>
      <c r="H27" s="8" t="s">
        <v>339</v>
      </c>
      <c r="I27" s="6" t="s">
        <v>335</v>
      </c>
      <c r="J27" s="6" t="s">
        <v>341</v>
      </c>
      <c r="K27" s="6"/>
      <c r="L27" s="8" t="s">
        <v>136</v>
      </c>
      <c r="M27" s="8" t="s">
        <v>336</v>
      </c>
      <c r="N27" s="6" t="s">
        <v>337</v>
      </c>
      <c r="O27" s="6" t="s">
        <v>139</v>
      </c>
      <c r="P27" s="6" t="s">
        <v>341</v>
      </c>
      <c r="Q27" s="8" t="s">
        <v>141</v>
      </c>
      <c r="R27" s="8" t="s">
        <v>340</v>
      </c>
      <c r="S27" s="3">
        <v>18</v>
      </c>
      <c r="T27" s="3" t="s">
        <v>548</v>
      </c>
      <c r="U27" s="6" t="str">
        <f t="shared" si="2"/>
        <v xml:space="preserve"> from CREDITO_CRESA.dbo.cfg_controlsecuencia nolock</v>
      </c>
      <c r="V27" s="6" t="str">
        <f t="shared" si="3"/>
        <v>select nombre_secuencia,ultimo_numero  from CREDITO_CRESA.dbo.cfg_controlsecuencia nolock</v>
      </c>
      <c r="W27" t="s">
        <v>552</v>
      </c>
      <c r="X27" t="s">
        <v>552</v>
      </c>
      <c r="Y27" t="s">
        <v>552</v>
      </c>
      <c r="Z27" t="s">
        <v>552</v>
      </c>
      <c r="AA27" t="s">
        <v>552</v>
      </c>
    </row>
    <row r="28" spans="1:27" x14ac:dyDescent="0.45">
      <c r="B28" s="3" t="s">
        <v>342</v>
      </c>
      <c r="C28" s="6" t="s">
        <v>343</v>
      </c>
      <c r="D28" s="6" t="s">
        <v>139</v>
      </c>
      <c r="E28" s="6" t="s">
        <v>348</v>
      </c>
      <c r="F28" s="8" t="s">
        <v>344</v>
      </c>
      <c r="G28" s="8" t="s">
        <v>132</v>
      </c>
      <c r="H28" s="8" t="s">
        <v>349</v>
      </c>
      <c r="I28" s="6" t="s">
        <v>345</v>
      </c>
      <c r="J28" s="6" t="s">
        <v>351</v>
      </c>
      <c r="K28" s="6"/>
      <c r="L28" s="8" t="s">
        <v>136</v>
      </c>
      <c r="M28" s="8" t="s">
        <v>346</v>
      </c>
      <c r="N28" s="6" t="s">
        <v>347</v>
      </c>
      <c r="O28" s="6" t="s">
        <v>139</v>
      </c>
      <c r="P28" s="6" t="s">
        <v>351</v>
      </c>
      <c r="Q28" s="8" t="s">
        <v>141</v>
      </c>
      <c r="R28" s="8" t="s">
        <v>350</v>
      </c>
      <c r="S28" s="3">
        <v>19</v>
      </c>
      <c r="T28" s="3" t="s">
        <v>548</v>
      </c>
      <c r="U28" s="6" t="str">
        <f t="shared" si="2"/>
        <v xml:space="preserve"> from CREDITO_CRESA.dbo.cre_solicitante nolock</v>
      </c>
      <c r="V28" s="6" t="str">
        <f t="shared" si="3"/>
        <v>select cod_cliente,tipo_cliente,es_activo,apellido_1,apellido_2,nombre_1,nombre_2,fecha_nacimiento,nacionalidad_id,sexo_id,estado_civil_id,nivel_educacion_id,profesion_id,
identificacion,cellular,cliente_referencia_ubicacion,cliente_calle_principal,cliente_calle_transversal,cliente_numero_casa,provincia_id,canton_id,parroquia_id,creado,actualizado,creado_por,actualizado_por,cuota_estimada,fecha_cuota_estimada,cliente_direccion,email,numero_cargas,nacionalidad  from CREDITO_CRESA.dbo.cre_solicitante nolock</v>
      </c>
      <c r="W28" t="s">
        <v>552</v>
      </c>
      <c r="X28" t="s">
        <v>552</v>
      </c>
      <c r="Y28" t="s">
        <v>552</v>
      </c>
      <c r="Z28" t="s">
        <v>552</v>
      </c>
      <c r="AA28" t="s">
        <v>552</v>
      </c>
    </row>
    <row r="29" spans="1:27" x14ac:dyDescent="0.45">
      <c r="B29" s="3" t="s">
        <v>353</v>
      </c>
      <c r="C29" s="6" t="s">
        <v>352</v>
      </c>
      <c r="D29" s="6" t="s">
        <v>139</v>
      </c>
      <c r="E29" s="6" t="s">
        <v>358</v>
      </c>
      <c r="F29" s="8" t="s">
        <v>354</v>
      </c>
      <c r="G29" s="8" t="s">
        <v>132</v>
      </c>
      <c r="H29" s="8" t="s">
        <v>359</v>
      </c>
      <c r="I29" s="6" t="s">
        <v>355</v>
      </c>
      <c r="J29" s="6" t="s">
        <v>361</v>
      </c>
      <c r="K29" s="6"/>
      <c r="L29" s="8" t="s">
        <v>136</v>
      </c>
      <c r="M29" s="8" t="s">
        <v>356</v>
      </c>
      <c r="N29" s="6" t="s">
        <v>357</v>
      </c>
      <c r="O29" s="6" t="s">
        <v>139</v>
      </c>
      <c r="P29" s="6" t="s">
        <v>361</v>
      </c>
      <c r="Q29" s="8" t="s">
        <v>141</v>
      </c>
      <c r="R29" s="8" t="s">
        <v>360</v>
      </c>
      <c r="S29" s="3">
        <v>20</v>
      </c>
      <c r="T29" s="3" t="s">
        <v>548</v>
      </c>
      <c r="U29" s="6" t="str">
        <f t="shared" si="2"/>
        <v xml:space="preserve"> from CREDITO_CRESA.dbo.cre_solicitante_mina nolock</v>
      </c>
      <c r="V29" s="6" t="str">
        <f t="shared" si="3"/>
        <v>select id,solicitante_id,propiedad,valor  from CREDITO_CRESA.dbo.cre_solicitante_mina nolock</v>
      </c>
      <c r="W29" t="s">
        <v>552</v>
      </c>
      <c r="X29" t="s">
        <v>552</v>
      </c>
      <c r="Y29" t="s">
        <v>552</v>
      </c>
      <c r="Z29" t="s">
        <v>552</v>
      </c>
      <c r="AA29" t="s">
        <v>552</v>
      </c>
    </row>
    <row r="30" spans="1:27" x14ac:dyDescent="0.45">
      <c r="B30" s="3" t="s">
        <v>362</v>
      </c>
      <c r="C30" s="6" t="s">
        <v>363</v>
      </c>
      <c r="D30" s="6" t="s">
        <v>139</v>
      </c>
      <c r="E30" s="6" t="s">
        <v>368</v>
      </c>
      <c r="F30" s="8" t="s">
        <v>364</v>
      </c>
      <c r="G30" s="8" t="s">
        <v>132</v>
      </c>
      <c r="H30" s="8" t="s">
        <v>369</v>
      </c>
      <c r="I30" s="6" t="s">
        <v>365</v>
      </c>
      <c r="J30" s="6" t="s">
        <v>371</v>
      </c>
      <c r="K30" s="6"/>
      <c r="L30" s="8" t="s">
        <v>136</v>
      </c>
      <c r="M30" s="8" t="s">
        <v>366</v>
      </c>
      <c r="N30" s="6" t="s">
        <v>367</v>
      </c>
      <c r="O30" s="6" t="s">
        <v>139</v>
      </c>
      <c r="P30" s="6" t="s">
        <v>371</v>
      </c>
      <c r="Q30" s="8" t="s">
        <v>141</v>
      </c>
      <c r="R30" s="8" t="s">
        <v>370</v>
      </c>
      <c r="S30" s="3">
        <v>21</v>
      </c>
      <c r="T30" s="3" t="s">
        <v>548</v>
      </c>
      <c r="U30" s="6" t="str">
        <f t="shared" si="2"/>
        <v xml:space="preserve"> from CREDITO_CRESA.dbo.cre_solicitud nolock</v>
      </c>
      <c r="V30" s="6" t="str">
        <f t="shared" si="3"/>
        <v>select id,empresa_id,unidad_negocio_id,canal_id,solicitante_id,secuencia_cupo,tipo_solicitud,
almacen_oficina,tipo_credito_id,tipo_emprendedor_id,identificacion_emprendedor,grupo_cliente,grupo_impuesto,modo_pago,origen_credito_id,vendedor,cuota_sugerida,cuota_solicitada,
cuota_aprobada,estado,actualizado,actualizado_por,creado,creado_por,secuencia_no,
calificacion_buro_id,calificacion_confianza_id,calificacion_final_id,fecha_cambio_estado,
notificacion_acepto,notificacion_enviada_id,salario_depurado,capacidad_pago,
tipo_verificacion,tipo_verificacion_final,dia_pago_corte_activo,entrada_base,
codigo_cliente,ciclo_corte_cliente,biometria_estado,biometria_id,lib_direccion_almacen,
lib_usuario_id,lib_fecha_realizar,mina_telefono_1,mina_telefono_2,mina_correo_1,
mina_correo_2,mina_score,final_score,verificacion_original,verificacion_activa,
modelo_aprobador_id,almacen_origen_id,riesgo_id,contador_intentos,vendedor_usuario_id,
regestion_intentos,cobertura_intentos  from CREDITO_CRESA.dbo.cre_solicitud nolock</v>
      </c>
      <c r="W30" t="s">
        <v>552</v>
      </c>
      <c r="X30" t="s">
        <v>552</v>
      </c>
      <c r="Y30" t="s">
        <v>552</v>
      </c>
      <c r="Z30" t="s">
        <v>552</v>
      </c>
      <c r="AA30" t="s">
        <v>552</v>
      </c>
    </row>
    <row r="31" spans="1:27" x14ac:dyDescent="0.45">
      <c r="B31" s="3" t="s">
        <v>377</v>
      </c>
      <c r="C31" s="6" t="s">
        <v>372</v>
      </c>
      <c r="D31" s="6" t="s">
        <v>139</v>
      </c>
      <c r="E31" s="6" t="s">
        <v>378</v>
      </c>
      <c r="F31" s="8" t="s">
        <v>373</v>
      </c>
      <c r="G31" s="8" t="s">
        <v>132</v>
      </c>
      <c r="H31" s="8" t="s">
        <v>379</v>
      </c>
      <c r="I31" s="6" t="s">
        <v>374</v>
      </c>
      <c r="J31" s="6" t="s">
        <v>381</v>
      </c>
      <c r="K31" s="6"/>
      <c r="L31" s="8" t="s">
        <v>136</v>
      </c>
      <c r="M31" s="8" t="s">
        <v>375</v>
      </c>
      <c r="N31" s="6" t="s">
        <v>376</v>
      </c>
      <c r="O31" s="6" t="s">
        <v>139</v>
      </c>
      <c r="P31" s="6" t="s">
        <v>381</v>
      </c>
      <c r="Q31" s="8" t="s">
        <v>141</v>
      </c>
      <c r="R31" s="8" t="s">
        <v>380</v>
      </c>
      <c r="S31" s="3">
        <v>24</v>
      </c>
      <c r="T31" s="3" t="s">
        <v>548</v>
      </c>
      <c r="U31" s="6" t="str">
        <f t="shared" si="2"/>
        <v xml:space="preserve"> from CREDITO_CRESA.dbo.cre_solicitudlaboral nolock</v>
      </c>
      <c r="V31" s="6" t="str">
        <f t="shared" si="3"/>
        <v>select id,solicitud_id,provincia_id,canton_id,parroquia_id,actividad_laboral_id,actividad_economica_id,cargas_familiares,calle_principal,calle_transversal,nombre_empresa,salario,origen_ingresos,direccion,sector,referencia,tiempo_laboral,fecha_ingreso_laboral,telefono_fijo,cellular,relacion_dependencia_id,profesion_id,es_actual,actualizado,actualizado_por,creado,creado_por  from CREDITO_CRESA.dbo.cre_solicitudlaboral nolock</v>
      </c>
      <c r="W31" t="s">
        <v>552</v>
      </c>
      <c r="X31" t="s">
        <v>552</v>
      </c>
      <c r="Y31" t="s">
        <v>552</v>
      </c>
      <c r="Z31" t="s">
        <v>552</v>
      </c>
      <c r="AA31" t="s">
        <v>552</v>
      </c>
    </row>
    <row r="32" spans="1:27" x14ac:dyDescent="0.45">
      <c r="B32" s="3" t="s">
        <v>382</v>
      </c>
      <c r="C32" s="6" t="s">
        <v>383</v>
      </c>
      <c r="D32" s="6" t="s">
        <v>139</v>
      </c>
      <c r="E32" s="6" t="s">
        <v>388</v>
      </c>
      <c r="F32" s="8" t="s">
        <v>384</v>
      </c>
      <c r="G32" s="8" t="s">
        <v>132</v>
      </c>
      <c r="H32" s="8" t="s">
        <v>389</v>
      </c>
      <c r="I32" s="6" t="s">
        <v>385</v>
      </c>
      <c r="J32" s="6" t="s">
        <v>391</v>
      </c>
      <c r="K32" s="6"/>
      <c r="L32" s="8" t="s">
        <v>136</v>
      </c>
      <c r="M32" s="8" t="s">
        <v>386</v>
      </c>
      <c r="N32" s="6" t="s">
        <v>387</v>
      </c>
      <c r="O32" s="6" t="s">
        <v>139</v>
      </c>
      <c r="P32" s="6" t="s">
        <v>391</v>
      </c>
      <c r="Q32" s="8" t="s">
        <v>141</v>
      </c>
      <c r="R32" s="8" t="s">
        <v>390</v>
      </c>
      <c r="S32" s="3">
        <v>23</v>
      </c>
      <c r="T32" s="3" t="s">
        <v>548</v>
      </c>
      <c r="U32" s="6" t="str">
        <f t="shared" ref="U32" si="4">MID(H32,9,80)</f>
        <v xml:space="preserve"> from CREDITO_CRESA.dbo.cre_solicituddomicilio nolock</v>
      </c>
      <c r="V32" s="6" t="str">
        <f t="shared" ref="V32" si="5">_xlfn.CONCAT(T32," ",P32," ",U32)</f>
        <v>select id,solicitud_id,provincia_id,canton_id,parroquia_id,direccion,sector,calle_principal,calle_transversal,tipo_domicilio,referencia,telefono_fijo,cellular,tipo_propiedad,tipo_vivienda,tiempo_residencia,ubicacion_longitud,ubicacion_latitud,ubicacion_mapa,es_actual,manzana,villa,actualizado,actualizado_por,creado,creado_por  from CREDITO_CRESA.dbo.cre_solicituddomicilio nolock</v>
      </c>
      <c r="W32" t="s">
        <v>552</v>
      </c>
      <c r="X32" t="s">
        <v>552</v>
      </c>
      <c r="Y32" t="s">
        <v>552</v>
      </c>
      <c r="Z32" t="s">
        <v>552</v>
      </c>
      <c r="AA32" t="s">
        <v>552</v>
      </c>
    </row>
    <row r="33" spans="1:27" x14ac:dyDescent="0.45">
      <c r="B33" s="3" t="s">
        <v>392</v>
      </c>
      <c r="C33" s="6" t="s">
        <v>393</v>
      </c>
      <c r="D33" s="6" t="s">
        <v>139</v>
      </c>
      <c r="E33" s="6" t="s">
        <v>398</v>
      </c>
      <c r="F33" s="8" t="s">
        <v>394</v>
      </c>
      <c r="G33" s="8" t="s">
        <v>132</v>
      </c>
      <c r="H33" s="8" t="s">
        <v>399</v>
      </c>
      <c r="I33" s="6" t="s">
        <v>395</v>
      </c>
      <c r="J33" s="6" t="s">
        <v>401</v>
      </c>
      <c r="K33" s="6"/>
      <c r="L33" s="8" t="s">
        <v>136</v>
      </c>
      <c r="M33" s="8" t="s">
        <v>396</v>
      </c>
      <c r="N33" s="6" t="s">
        <v>397</v>
      </c>
      <c r="O33" s="6" t="s">
        <v>139</v>
      </c>
      <c r="P33" s="6" t="s">
        <v>401</v>
      </c>
      <c r="Q33" s="8" t="s">
        <v>141</v>
      </c>
      <c r="R33" s="8" t="s">
        <v>400</v>
      </c>
      <c r="S33" s="3">
        <v>25</v>
      </c>
      <c r="T33" s="3" t="s">
        <v>548</v>
      </c>
      <c r="U33" s="6" t="str">
        <f t="shared" ref="U33:U34" si="6">MID(H33,9,80)</f>
        <v xml:space="preserve"> from CREDITO_CRESA.dbo.cre_solicitudreferencia nolock</v>
      </c>
      <c r="V33" s="6" t="str">
        <f t="shared" ref="V33:V34" si="7">_xlfn.CONCAT(T33," ",P33," ",U33)</f>
        <v>select id,solicitud_id,parroquia_id,tipo_vinculo_id,nombres,telefono_fijo,cellular,operadora_celular,es_actual,apellidos,actualizado,actualizado_por,creado,creado_por  from CREDITO_CRESA.dbo.cre_solicitudreferencia nolock</v>
      </c>
      <c r="W33" t="s">
        <v>552</v>
      </c>
      <c r="X33" t="s">
        <v>552</v>
      </c>
      <c r="Y33" t="s">
        <v>552</v>
      </c>
      <c r="Z33" t="s">
        <v>552</v>
      </c>
      <c r="AA33" t="s">
        <v>552</v>
      </c>
    </row>
    <row r="34" spans="1:27" x14ac:dyDescent="0.45">
      <c r="B34" s="3" t="s">
        <v>402</v>
      </c>
      <c r="C34" s="6" t="s">
        <v>403</v>
      </c>
      <c r="D34" s="6" t="s">
        <v>139</v>
      </c>
      <c r="E34" s="6" t="s">
        <v>410</v>
      </c>
      <c r="F34" s="8" t="s">
        <v>404</v>
      </c>
      <c r="G34" s="8" t="s">
        <v>132</v>
      </c>
      <c r="H34" s="8" t="s">
        <v>408</v>
      </c>
      <c r="I34" s="6" t="s">
        <v>405</v>
      </c>
      <c r="J34" s="6" t="s">
        <v>411</v>
      </c>
      <c r="K34" s="6"/>
      <c r="L34" s="8" t="s">
        <v>136</v>
      </c>
      <c r="M34" s="8" t="s">
        <v>406</v>
      </c>
      <c r="N34" s="6" t="s">
        <v>407</v>
      </c>
      <c r="O34" s="6" t="s">
        <v>139</v>
      </c>
      <c r="P34" s="6" t="s">
        <v>411</v>
      </c>
      <c r="Q34" s="8" t="s">
        <v>141</v>
      </c>
      <c r="R34" s="8" t="s">
        <v>409</v>
      </c>
      <c r="S34" s="3">
        <v>22</v>
      </c>
      <c r="T34" s="3" t="s">
        <v>548</v>
      </c>
      <c r="U34" s="6" t="str">
        <f t="shared" si="6"/>
        <v xml:space="preserve"> from CREDITO_CRESA.dbo.cre_solicitudbitacora nolock</v>
      </c>
      <c r="V34" s="6" t="str">
        <f t="shared" si="7"/>
        <v>select id,solicitud_id,estado,creado,creado_por  from CREDITO_CRESA.dbo.cre_solicitudbitacora nolock</v>
      </c>
      <c r="W34" t="s">
        <v>552</v>
      </c>
      <c r="X34" t="s">
        <v>552</v>
      </c>
      <c r="Y34" t="s">
        <v>552</v>
      </c>
      <c r="Z34" t="s">
        <v>552</v>
      </c>
      <c r="AA34" t="s">
        <v>552</v>
      </c>
    </row>
    <row r="35" spans="1:27" x14ac:dyDescent="0.45">
      <c r="B35" s="3" t="s">
        <v>412</v>
      </c>
      <c r="C35" s="6" t="s">
        <v>413</v>
      </c>
      <c r="D35" s="6" t="s">
        <v>139</v>
      </c>
      <c r="E35" s="6" t="s">
        <v>418</v>
      </c>
      <c r="F35" s="8" t="s">
        <v>414</v>
      </c>
      <c r="G35" s="8" t="s">
        <v>132</v>
      </c>
      <c r="H35" s="8" t="s">
        <v>419</v>
      </c>
      <c r="I35" s="6" t="s">
        <v>415</v>
      </c>
      <c r="J35" s="6" t="s">
        <v>421</v>
      </c>
      <c r="K35" s="6"/>
      <c r="L35" s="8" t="s">
        <v>136</v>
      </c>
      <c r="M35" s="8" t="s">
        <v>416</v>
      </c>
      <c r="N35" s="6" t="s">
        <v>417</v>
      </c>
      <c r="O35" s="6" t="s">
        <v>139</v>
      </c>
      <c r="P35" s="6" t="s">
        <v>421</v>
      </c>
      <c r="Q35" s="8" t="s">
        <v>141</v>
      </c>
      <c r="R35" s="8" t="s">
        <v>420</v>
      </c>
      <c r="S35" s="3">
        <v>31</v>
      </c>
      <c r="T35" s="3" t="s">
        <v>548</v>
      </c>
      <c r="U35" s="6" t="str">
        <f t="shared" ref="U35" si="8">MID(H35,9,80)</f>
        <v xml:space="preserve"> from CREDITO_CRESA.dbo.ver_respuesta_proveedor nolock</v>
      </c>
      <c r="V35" s="6" t="str">
        <f t="shared" ref="V35" si="9">_xlfn.CONCAT(T35," ",P35," ",U35)</f>
        <v>select id,verificacion_id,solicitud_id,gestor_id,motive,fecha_resolucion,estado,evidencia_url,comentario,creado,actualizado,creado_por,actualizado_por  from CREDITO_CRESA.dbo.ver_respuesta_proveedor nolock</v>
      </c>
      <c r="W35" t="s">
        <v>552</v>
      </c>
      <c r="X35" t="s">
        <v>552</v>
      </c>
      <c r="Y35" t="s">
        <v>552</v>
      </c>
      <c r="Z35" t="s">
        <v>552</v>
      </c>
      <c r="AA35" t="s">
        <v>552</v>
      </c>
    </row>
    <row r="36" spans="1:27" x14ac:dyDescent="0.45">
      <c r="B36" s="3" t="s">
        <v>422</v>
      </c>
      <c r="C36" s="6" t="s">
        <v>423</v>
      </c>
      <c r="D36" s="6" t="s">
        <v>139</v>
      </c>
      <c r="E36" s="6" t="s">
        <v>428</v>
      </c>
      <c r="F36" s="8" t="s">
        <v>424</v>
      </c>
      <c r="G36" s="8" t="s">
        <v>132</v>
      </c>
      <c r="H36" s="8" t="s">
        <v>429</v>
      </c>
      <c r="I36" s="6" t="s">
        <v>425</v>
      </c>
      <c r="J36" s="6" t="s">
        <v>431</v>
      </c>
      <c r="K36" s="6"/>
      <c r="L36" s="8" t="s">
        <v>136</v>
      </c>
      <c r="M36" s="8" t="s">
        <v>426</v>
      </c>
      <c r="N36" s="6" t="s">
        <v>427</v>
      </c>
      <c r="O36" s="6" t="s">
        <v>139</v>
      </c>
      <c r="P36" s="6" t="s">
        <v>431</v>
      </c>
      <c r="Q36" s="8" t="s">
        <v>141</v>
      </c>
      <c r="R36" s="8" t="s">
        <v>430</v>
      </c>
      <c r="S36" s="3">
        <v>26</v>
      </c>
      <c r="T36" s="3" t="s">
        <v>548</v>
      </c>
      <c r="U36" s="6" t="str">
        <f t="shared" ref="U36" si="10">MID(H36,9,80)</f>
        <v xml:space="preserve"> from CREDITO_CRESA.dbo.lcr_cuentas nolock</v>
      </c>
      <c r="V36" s="6" t="str">
        <f t="shared" ref="V36" si="11">_xlfn.CONCAT(T36," ",P36," ",U36)</f>
        <v>select id,codigo_cliente,identificacion,tipo_identificacion,nombre1,nombre2,apellido1,apellido2,cellular,email,es_activa,cuota_maxima,cuota_reservada,solicitante_id,solicitud_origen_id,creado,creado_por,actualizado,actualizado_por,segmento_id,direccion_domicilio  from CREDITO_CRESA.dbo.lcr_cuentas nolock</v>
      </c>
      <c r="W36" t="s">
        <v>552</v>
      </c>
      <c r="X36" t="s">
        <v>552</v>
      </c>
      <c r="Y36" t="s">
        <v>552</v>
      </c>
      <c r="Z36" t="s">
        <v>552</v>
      </c>
      <c r="AA36" t="s">
        <v>552</v>
      </c>
    </row>
    <row r="37" spans="1:27" x14ac:dyDescent="0.45">
      <c r="B37" s="3" t="s">
        <v>432</v>
      </c>
      <c r="C37" s="6" t="s">
        <v>433</v>
      </c>
      <c r="D37" s="6" t="s">
        <v>139</v>
      </c>
      <c r="E37" s="6" t="s">
        <v>438</v>
      </c>
      <c r="F37" s="8" t="s">
        <v>434</v>
      </c>
      <c r="G37" s="8" t="s">
        <v>132</v>
      </c>
      <c r="H37" s="8" t="s">
        <v>439</v>
      </c>
      <c r="I37" s="6" t="s">
        <v>435</v>
      </c>
      <c r="J37" s="6" t="s">
        <v>441</v>
      </c>
      <c r="K37" s="6"/>
      <c r="L37" s="8" t="s">
        <v>136</v>
      </c>
      <c r="M37" s="8" t="s">
        <v>436</v>
      </c>
      <c r="N37" s="6" t="s">
        <v>437</v>
      </c>
      <c r="O37" s="6" t="s">
        <v>139</v>
      </c>
      <c r="P37" s="6" t="s">
        <v>441</v>
      </c>
      <c r="Q37" s="8" t="s">
        <v>141</v>
      </c>
      <c r="R37" s="8" t="s">
        <v>440</v>
      </c>
      <c r="S37" s="3">
        <v>28</v>
      </c>
      <c r="T37" s="3" t="s">
        <v>548</v>
      </c>
      <c r="U37" s="6" t="str">
        <f t="shared" ref="U37" si="12">MID(H37,9,80)</f>
        <v xml:space="preserve"> from CREDITO_CRESA.dbo.lcr_reserva_cuotas nolock</v>
      </c>
      <c r="V37" s="6" t="str">
        <f t="shared" ref="V37" si="13">_xlfn.CONCAT(T37," ",P37," ",U37)</f>
        <v>select id,cuenta_id,empresa_id,almacen_id,origen,pedido_id,monto,es_activo,creado_por,creado,actualizado_por,actualizado,sobre_cupo  from CREDITO_CRESA.dbo.lcr_reserva_cuotas nolock</v>
      </c>
      <c r="W37" t="s">
        <v>552</v>
      </c>
      <c r="X37" t="s">
        <v>552</v>
      </c>
      <c r="Y37" t="s">
        <v>552</v>
      </c>
      <c r="Z37" t="s">
        <v>552</v>
      </c>
      <c r="AA37" t="s">
        <v>552</v>
      </c>
    </row>
    <row r="38" spans="1:27" x14ac:dyDescent="0.45">
      <c r="A38" s="12"/>
      <c r="B38" s="3" t="s">
        <v>442</v>
      </c>
      <c r="C38" s="6" t="s">
        <v>443</v>
      </c>
      <c r="D38" s="6" t="s">
        <v>139</v>
      </c>
      <c r="E38" s="6" t="s">
        <v>448</v>
      </c>
      <c r="F38" s="8" t="s">
        <v>444</v>
      </c>
      <c r="G38" s="8" t="s">
        <v>132</v>
      </c>
      <c r="H38" s="8" t="s">
        <v>449</v>
      </c>
      <c r="I38" s="6" t="s">
        <v>445</v>
      </c>
      <c r="J38" s="6" t="s">
        <v>451</v>
      </c>
      <c r="K38" s="6"/>
      <c r="L38" s="8" t="s">
        <v>136</v>
      </c>
      <c r="M38" s="8" t="s">
        <v>446</v>
      </c>
      <c r="N38" s="6" t="s">
        <v>447</v>
      </c>
      <c r="O38" s="6" t="s">
        <v>139</v>
      </c>
      <c r="P38" s="6" t="s">
        <v>451</v>
      </c>
      <c r="Q38" s="8" t="s">
        <v>141</v>
      </c>
      <c r="R38" s="8" t="s">
        <v>450</v>
      </c>
      <c r="S38" s="3">
        <v>27</v>
      </c>
      <c r="T38" s="3" t="s">
        <v>548</v>
      </c>
      <c r="U38" s="6" t="str">
        <f t="shared" ref="U38" si="14">MID(H38,9,80)</f>
        <v xml:space="preserve"> from CREDITO_CRESA.dbo.lcr_graduacion nolock</v>
      </c>
      <c r="V38" s="6" t="str">
        <f t="shared" ref="V38" si="15">_xlfn.CONCAT(T38," ",P38," ",U38)</f>
        <v>select id,graduacion_id,codigo_empresa,codigo_cliente,calificacion_anterior,calificacion_nueva,indicador_rescate,cantidad_cortes_evaluados,maximo_dias_atraso,creado,creado_por,fecha_corte,
envio_notificacion,estado_registro,segmento_anterior_id,segmento_nuevo_id,identificacion,capacidad_pago,tipo_cliente,relacion_dependencia_id,unidad_negocio_id,canal_id,grupo_id,edad,
nacionalidad,riesgo_id,politica_id,salario_depurado,origen_credito_id,cuota_maxima_anterior,cuota_maxima_nueva,almacen_oficina,lcr_id,segmento_lcr_anterior,estado_procesamiento,estado_notificacion,error_notificacion,fecha_recepcion,fecha_procesamiento,error_descripcion,bitacora_id,solicitante_id,cuenta_id,intentos_procesamiento,origen_datos  from CREDITO_CRESA.dbo.lcr_graduacion nolock</v>
      </c>
      <c r="W38" t="s">
        <v>552</v>
      </c>
      <c r="X38" t="s">
        <v>552</v>
      </c>
      <c r="Y38" t="s">
        <v>552</v>
      </c>
      <c r="Z38" t="s">
        <v>552</v>
      </c>
      <c r="AA38" t="s">
        <v>552</v>
      </c>
    </row>
    <row r="40" spans="1:27" x14ac:dyDescent="0.45">
      <c r="B40" s="4" t="s">
        <v>452</v>
      </c>
    </row>
    <row r="41" spans="1:27" x14ac:dyDescent="0.45">
      <c r="B41" s="4" t="s">
        <v>127</v>
      </c>
      <c r="C41" s="5" t="s">
        <v>129</v>
      </c>
      <c r="D41" s="5" t="s">
        <v>133</v>
      </c>
      <c r="E41" s="5" t="s">
        <v>134</v>
      </c>
      <c r="F41" s="7" t="s">
        <v>131</v>
      </c>
      <c r="G41" s="7" t="s">
        <v>147</v>
      </c>
      <c r="H41" s="7" t="s">
        <v>157</v>
      </c>
      <c r="I41" s="5" t="s">
        <v>144</v>
      </c>
      <c r="J41" s="5" t="s">
        <v>161</v>
      </c>
      <c r="K41" s="5"/>
      <c r="L41" s="7" t="s">
        <v>145</v>
      </c>
      <c r="M41" s="7" t="s">
        <v>162</v>
      </c>
      <c r="N41" s="5" t="s">
        <v>146</v>
      </c>
      <c r="O41" s="5" t="s">
        <v>164</v>
      </c>
      <c r="P41" s="5" t="s">
        <v>163</v>
      </c>
      <c r="Q41" s="7" t="s">
        <v>140</v>
      </c>
      <c r="R41" s="7" t="s">
        <v>142</v>
      </c>
      <c r="S41" s="4"/>
    </row>
    <row r="42" spans="1:27" x14ac:dyDescent="0.45">
      <c r="B42" s="3" t="s">
        <v>453</v>
      </c>
      <c r="C42" s="6" t="s">
        <v>454</v>
      </c>
      <c r="D42" s="6" t="s">
        <v>139</v>
      </c>
      <c r="E42" s="6" t="s">
        <v>459</v>
      </c>
      <c r="F42" s="8" t="s">
        <v>455</v>
      </c>
      <c r="G42" s="8" t="s">
        <v>132</v>
      </c>
      <c r="H42" s="8" t="s">
        <v>460</v>
      </c>
      <c r="I42" s="6" t="s">
        <v>456</v>
      </c>
      <c r="J42" s="6" t="s">
        <v>462</v>
      </c>
      <c r="K42" s="6"/>
      <c r="L42" s="8" t="s">
        <v>136</v>
      </c>
      <c r="M42" s="8" t="s">
        <v>457</v>
      </c>
      <c r="N42" s="6" t="s">
        <v>458</v>
      </c>
      <c r="O42" s="6" t="s">
        <v>139</v>
      </c>
      <c r="P42" s="6" t="s">
        <v>462</v>
      </c>
      <c r="Q42" s="8" t="s">
        <v>141</v>
      </c>
      <c r="R42" s="8" t="s">
        <v>461</v>
      </c>
      <c r="S42" s="3">
        <v>30</v>
      </c>
      <c r="T42" s="3" t="s">
        <v>548</v>
      </c>
      <c r="U42" s="6" t="str">
        <f t="shared" ref="U42" si="16">MID(H42,9,80)</f>
        <v xml:space="preserve"> from CREDITO_CRESA.dbo.sis_peticiones nolock</v>
      </c>
      <c r="V42" s="6" t="str">
        <f t="shared" ref="V42" si="17">_xlfn.CONCAT(T42," ",P42," ",U42)</f>
        <v>select id,identificacion,api,metodo,url,request,status,response,creado,creado_por  from CREDITO_CRESA.dbo.sis_peticiones nolock</v>
      </c>
      <c r="W42" t="s">
        <v>552</v>
      </c>
      <c r="X42" t="s">
        <v>552</v>
      </c>
      <c r="Y42" t="s">
        <v>552</v>
      </c>
      <c r="Z42" t="s">
        <v>552</v>
      </c>
      <c r="AA42" t="s">
        <v>552</v>
      </c>
    </row>
    <row r="45" spans="1:27" x14ac:dyDescent="0.45">
      <c r="B45" s="4" t="s">
        <v>127</v>
      </c>
      <c r="C45" s="5" t="s">
        <v>129</v>
      </c>
      <c r="D45" s="5" t="s">
        <v>133</v>
      </c>
      <c r="E45" s="5" t="s">
        <v>134</v>
      </c>
      <c r="F45" s="7" t="s">
        <v>131</v>
      </c>
      <c r="G45" s="7" t="s">
        <v>147</v>
      </c>
      <c r="H45" s="7" t="s">
        <v>157</v>
      </c>
      <c r="I45" s="5" t="s">
        <v>144</v>
      </c>
      <c r="J45" s="5" t="s">
        <v>161</v>
      </c>
      <c r="K45" s="5"/>
      <c r="L45" s="7" t="s">
        <v>145</v>
      </c>
      <c r="M45" s="7" t="s">
        <v>162</v>
      </c>
      <c r="N45" s="5" t="s">
        <v>146</v>
      </c>
      <c r="O45" s="5" t="s">
        <v>164</v>
      </c>
      <c r="P45" s="5" t="s">
        <v>163</v>
      </c>
      <c r="Q45" s="7" t="s">
        <v>140</v>
      </c>
      <c r="R45" s="7" t="s">
        <v>142</v>
      </c>
      <c r="S45" s="4"/>
    </row>
    <row r="46" spans="1:27" x14ac:dyDescent="0.45">
      <c r="B46" s="3" t="s">
        <v>480</v>
      </c>
      <c r="C46" s="6" t="s">
        <v>481</v>
      </c>
      <c r="D46" s="6" t="s">
        <v>502</v>
      </c>
      <c r="E46" s="6" t="s">
        <v>503</v>
      </c>
      <c r="F46" s="8" t="s">
        <v>482</v>
      </c>
      <c r="G46" s="8" t="s">
        <v>494</v>
      </c>
      <c r="H46" s="8" t="s">
        <v>487</v>
      </c>
      <c r="I46" s="6" t="s">
        <v>483</v>
      </c>
      <c r="J46" s="6" t="s">
        <v>486</v>
      </c>
      <c r="K46" s="6"/>
      <c r="L46" s="8" t="s">
        <v>136</v>
      </c>
      <c r="M46" s="8" t="s">
        <v>484</v>
      </c>
      <c r="N46" s="6" t="s">
        <v>485</v>
      </c>
      <c r="O46" s="6" t="s">
        <v>489</v>
      </c>
      <c r="P46" s="6" t="s">
        <v>486</v>
      </c>
      <c r="Q46" s="10"/>
      <c r="R46" s="8" t="s">
        <v>488</v>
      </c>
      <c r="T46" s="3" t="s">
        <v>548</v>
      </c>
      <c r="U46" s="13" t="str">
        <f t="shared" ref="U46" si="18">MID(H46,9,80)</f>
        <v>'CRESA' empresa,
-- c.des_tienda_dynamics 
null desAgencia,
d.numero_cedula  doc</v>
      </c>
      <c r="V46" s="6" t="str">
        <f t="shared" ref="V46" si="19">_xlfn.CONCAT(T46," ",P46," ",U46)</f>
        <v>select empresa,desAgencia,document,nomcliente,numCredito,numComprobante,interesMora,gastoCobranza,dfechavencimiento,monto,fechacreacion,autorizacion,cuotaFin,valorCapital,valorInteres,tipoPago,vertical,estadoPago,estado,tipoCartera,clase 'CRESA' empresa,
-- c.des_tienda_dynamics 
null desAgencia,
d.numero_cedula  doc</v>
      </c>
      <c r="W46" t="s">
        <v>552</v>
      </c>
      <c r="X46" t="s">
        <v>552</v>
      </c>
      <c r="Y46" t="s">
        <v>552</v>
      </c>
      <c r="Z46" t="s">
        <v>552</v>
      </c>
      <c r="AA46" t="s">
        <v>552</v>
      </c>
    </row>
    <row r="47" spans="1:27" x14ac:dyDescent="0.45">
      <c r="B47" s="3" t="s">
        <v>490</v>
      </c>
      <c r="C47" s="6" t="s">
        <v>491</v>
      </c>
      <c r="D47" s="6" t="s">
        <v>504</v>
      </c>
      <c r="E47" s="6" t="s">
        <v>492</v>
      </c>
      <c r="F47" s="8" t="s">
        <v>495</v>
      </c>
      <c r="G47" s="8" t="s">
        <v>494</v>
      </c>
      <c r="H47" s="8" t="s">
        <v>493</v>
      </c>
      <c r="I47" s="6" t="s">
        <v>496</v>
      </c>
      <c r="J47" s="6" t="s">
        <v>498</v>
      </c>
      <c r="K47" s="6"/>
      <c r="L47" s="8" t="s">
        <v>136</v>
      </c>
      <c r="M47" s="8" t="s">
        <v>501</v>
      </c>
      <c r="N47" s="6" t="s">
        <v>500</v>
      </c>
      <c r="O47" s="6" t="s">
        <v>499</v>
      </c>
      <c r="P47" s="6" t="s">
        <v>498</v>
      </c>
      <c r="Q47" s="10"/>
      <c r="R47" s="8" t="s">
        <v>497</v>
      </c>
      <c r="T47" s="3" t="s">
        <v>548</v>
      </c>
      <c r="U47" s="13" t="str">
        <f t="shared" ref="U47" si="20">MID(H47,9,80)</f>
        <v xml:space="preserve">c.tipoOpetracion tipoCredito,
a.valor monto,
cast(cast(a.id_fecha as varchar)as </v>
      </c>
      <c r="V47" s="6" t="str">
        <f t="shared" ref="V47" si="21">_xlfn.CONCAT(T47," ",P47," ",U47)</f>
        <v xml:space="preserve">select tipoCredito,monto,fechacreacion c.tipoOpetracion tipoCredito,
a.valor monto,
cast(cast(a.id_fecha as varchar)as </v>
      </c>
      <c r="W47" t="s">
        <v>552</v>
      </c>
      <c r="X47" t="s">
        <v>552</v>
      </c>
      <c r="Y47" t="s">
        <v>552</v>
      </c>
      <c r="Z47" t="s">
        <v>552</v>
      </c>
      <c r="AA47" t="s">
        <v>552</v>
      </c>
    </row>
    <row r="48" spans="1:27" x14ac:dyDescent="0.45">
      <c r="B48" s="3" t="s">
        <v>505</v>
      </c>
      <c r="C48" s="6" t="s">
        <v>506</v>
      </c>
      <c r="D48" s="6" t="s">
        <v>494</v>
      </c>
      <c r="E48" s="6" t="s">
        <v>507</v>
      </c>
      <c r="F48" s="8" t="s">
        <v>508</v>
      </c>
      <c r="G48" s="8" t="s">
        <v>494</v>
      </c>
      <c r="H48" s="8" t="s">
        <v>511</v>
      </c>
      <c r="I48" s="6" t="s">
        <v>509</v>
      </c>
      <c r="J48" s="6" t="s">
        <v>512</v>
      </c>
      <c r="K48" s="6"/>
      <c r="L48" s="8" t="s">
        <v>136</v>
      </c>
      <c r="M48" s="8" t="s">
        <v>510</v>
      </c>
      <c r="N48" s="6" t="s">
        <v>513</v>
      </c>
      <c r="O48" s="6" t="s">
        <v>494</v>
      </c>
      <c r="P48" s="6" t="s">
        <v>512</v>
      </c>
      <c r="Q48" s="6" t="s">
        <v>514</v>
      </c>
      <c r="R48" s="8" t="s">
        <v>515</v>
      </c>
      <c r="T48" s="3" t="s">
        <v>548</v>
      </c>
      <c r="U48" s="13" t="str">
        <f t="shared" ref="U48" si="22">MID(H48,9,80)</f>
        <v>'CRESA' empresa,
c.des_tienda_dynamics desAgencia,
d.numero_cedula  documento,
d</v>
      </c>
      <c r="V48" s="6" t="str">
        <f t="shared" ref="V48" si="23">_xlfn.CONCAT(T48," ",P48," ",U48)</f>
        <v>select empresa,desAgencia,documento,nomcliente,numCredito,numComprobante,interesMora,gastoCobranza,dfechavencimiento,monto,fechacreacion,autorizacion,cuotaFin,valorCapital,valorInteres,emision_estado_cuenta,tipoPago,vertical,estadoPago,estado,tipoCartera,clase,cid_asiento 'CRESA' empresa,
c.des_tienda_dynamics desAgencia,
d.numero_cedula  documento,
d</v>
      </c>
      <c r="W48" t="s">
        <v>552</v>
      </c>
      <c r="X48" t="s">
        <v>552</v>
      </c>
      <c r="Y48" t="s">
        <v>552</v>
      </c>
      <c r="Z48" t="s">
        <v>552</v>
      </c>
      <c r="AA48" t="s">
        <v>552</v>
      </c>
    </row>
    <row r="49" spans="2:19" x14ac:dyDescent="0.45">
      <c r="B49" s="3" t="s">
        <v>516</v>
      </c>
      <c r="C49" s="6" t="s">
        <v>517</v>
      </c>
      <c r="D49" s="6" t="s">
        <v>519</v>
      </c>
      <c r="E49" s="6" t="s">
        <v>518</v>
      </c>
    </row>
    <row r="52" spans="2:19" x14ac:dyDescent="0.45">
      <c r="B52" s="4" t="s">
        <v>520</v>
      </c>
    </row>
    <row r="53" spans="2:19" x14ac:dyDescent="0.45">
      <c r="B53" s="4" t="s">
        <v>127</v>
      </c>
      <c r="C53" s="5" t="s">
        <v>129</v>
      </c>
      <c r="D53" s="5" t="s">
        <v>133</v>
      </c>
      <c r="E53" s="5" t="s">
        <v>134</v>
      </c>
      <c r="F53" s="7" t="s">
        <v>131</v>
      </c>
      <c r="G53" s="7" t="s">
        <v>147</v>
      </c>
      <c r="H53" s="7" t="s">
        <v>157</v>
      </c>
      <c r="I53" s="5" t="s">
        <v>144</v>
      </c>
      <c r="J53" s="5" t="s">
        <v>161</v>
      </c>
      <c r="K53" s="5"/>
      <c r="L53" s="7" t="s">
        <v>145</v>
      </c>
      <c r="M53" s="7" t="s">
        <v>162</v>
      </c>
      <c r="N53" s="5" t="s">
        <v>146</v>
      </c>
      <c r="O53" s="5" t="s">
        <v>164</v>
      </c>
      <c r="P53" s="5" t="s">
        <v>163</v>
      </c>
      <c r="Q53" s="7" t="s">
        <v>140</v>
      </c>
      <c r="R53" s="7" t="s">
        <v>142</v>
      </c>
      <c r="S53" s="4"/>
    </row>
    <row r="54" spans="2:19" x14ac:dyDescent="0.45">
      <c r="B54" s="3" t="s">
        <v>525</v>
      </c>
      <c r="C54" s="6" t="s">
        <v>526</v>
      </c>
      <c r="D54" s="6" t="s">
        <v>532</v>
      </c>
      <c r="E54" s="6" t="s">
        <v>530</v>
      </c>
      <c r="F54" s="8" t="s">
        <v>527</v>
      </c>
      <c r="G54" s="8" t="s">
        <v>139</v>
      </c>
      <c r="H54" s="8" t="s">
        <v>533</v>
      </c>
      <c r="I54" s="6" t="s">
        <v>528</v>
      </c>
      <c r="J54" s="6" t="s">
        <v>534</v>
      </c>
      <c r="K54" s="6"/>
      <c r="L54" s="8" t="s">
        <v>136</v>
      </c>
      <c r="M54" s="8" t="s">
        <v>529</v>
      </c>
      <c r="N54" s="6" t="s">
        <v>540</v>
      </c>
      <c r="O54" s="6" t="s">
        <v>532</v>
      </c>
      <c r="P54" s="6" t="s">
        <v>534</v>
      </c>
      <c r="Q54" s="10"/>
      <c r="R54" s="8" t="s">
        <v>531</v>
      </c>
    </row>
    <row r="55" spans="2:19" x14ac:dyDescent="0.45">
      <c r="B55" s="3" t="s">
        <v>535</v>
      </c>
      <c r="C55" s="6" t="s">
        <v>536</v>
      </c>
      <c r="D55" s="6" t="s">
        <v>532</v>
      </c>
      <c r="E55" s="6" t="s">
        <v>542</v>
      </c>
      <c r="F55" s="8" t="s">
        <v>537</v>
      </c>
      <c r="G55" s="8" t="s">
        <v>139</v>
      </c>
      <c r="H55" s="14" t="s">
        <v>543</v>
      </c>
      <c r="I55" s="6" t="s">
        <v>538</v>
      </c>
      <c r="J55" s="6" t="s">
        <v>544</v>
      </c>
      <c r="K55" s="6" t="s">
        <v>545</v>
      </c>
      <c r="L55" s="8" t="s">
        <v>136</v>
      </c>
      <c r="M55" s="8" t="s">
        <v>539</v>
      </c>
      <c r="N55" s="6" t="s">
        <v>541</v>
      </c>
      <c r="O55" s="6" t="s">
        <v>532</v>
      </c>
      <c r="P55" s="6" t="s">
        <v>544</v>
      </c>
      <c r="Q55" s="10"/>
      <c r="R55" s="8" t="s">
        <v>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Job&amp;Transformacion</vt:lpstr>
      <vt:lpstr>Transformacion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 Yánez</dc:creator>
  <cp:lastModifiedBy>Wilson Yánez</cp:lastModifiedBy>
  <dcterms:created xsi:type="dcterms:W3CDTF">2026-08-19T19:55:21Z</dcterms:created>
  <dcterms:modified xsi:type="dcterms:W3CDTF">2026-09-05T01:21:50Z</dcterms:modified>
</cp:coreProperties>
</file>